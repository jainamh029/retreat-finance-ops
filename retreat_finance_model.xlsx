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_chartdata" sheetId="2" state="hidden" r:id="rId2"/>
    <sheet name="AR" sheetId="3" r:id="rId3"/>
    <sheet name="AP" sheetId="4" r:id="rId4"/>
    <sheet name="Budget vs Actual" sheetId="5" r:id="rId5"/>
    <sheet name="Cash Flow Forecast" sheetId="6" r:id="rId6"/>
    <sheet name="Data Sources" sheetId="7" r:id="rId7"/>
  </sheets>
  <definedNames>
    <definedName name="AS_OF">'Dashboard'!$J$1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2" authorId="0">
      <text>
        <r>
          <rPr>
            <sz val="8"/>
            <color indexed="81"/>
            <rFont val="Tahoma"/>
            <family val="2"/>
          </rPr>
          <t>How to read the reconciliation match rate: recall/precision (97.5% / 99.5% on the shipped data) measure the algorithm's TIMING-RESOLUTION accuracy (recall vs. due-date window: 20% at ±5d, 48% at ±10d, 97.5% at ±30d) and its EXCEPTION DISCIPLINE (correctly leaving the 3 genuinely unmatchable AP settlements flagged rather than force-assigning them). It is NOT a measure of amount-fuzzing robustness: settlement amounts in the dataset were built to equal the ledger amount exactly — a known, disclosed simplification (see DATA_NOTES.md §1 and §6). Amount and name still gate and score every candidate; they just are not the hard part on this corpus.</t>
        </r>
      </text>
    </comment>
  </commentList>
</comments>
</file>

<file path=xl/sharedStrings.xml><?xml version="1.0" encoding="utf-8"?>
<sst xmlns="http://schemas.openxmlformats.org/spreadsheetml/2006/main" count="3975" uniqueCount="1424">
  <si>
    <t>Retreat Finance Ops — Model</t>
  </si>
  <si>
    <t>data as of 2026-09-10  ·  generated 2026-09-10 18:06  ·  source: same SQLite DB + backend.data_access as the live API</t>
  </si>
  <si>
    <t>as-of →</t>
  </si>
  <si>
    <t>Metric</t>
  </si>
  <si>
    <t>Value</t>
  </si>
  <si>
    <t>Notes / benchmark</t>
  </si>
  <si>
    <t>Total AR outstanding</t>
  </si>
  <si>
    <t>13 open invoices</t>
  </si>
  <si>
    <t>Total AP outstanding</t>
  </si>
  <si>
    <t>26 open bills</t>
  </si>
  <si>
    <t>DSO (days)</t>
  </si>
  <si>
    <t>benchmark 45.0–75.0 · IN RANGE</t>
  </si>
  <si>
    <t>DPO (days)</t>
  </si>
  <si>
    <t>benchmark 20.0–40.0 · IN RANGE</t>
  </si>
  <si>
    <t>Cash position</t>
  </si>
  <si>
    <t>wk13 projected 1,475,076</t>
  </si>
  <si>
    <t>Overdue invoices</t>
  </si>
  <si>
    <t>$344,422.86 overdue</t>
  </si>
  <si>
    <t>Budget variance (actual − budget)</t>
  </si>
  <si>
    <t>2 retreats &gt;10% over</t>
  </si>
  <si>
    <t>Reconciliation match rate</t>
  </si>
  <si>
    <t>ground-truth recall 97.5% / precision 99.5%</t>
  </si>
  <si>
    <t>Reconciliation match-rate caveat (also in DATA_NOTES.md §1/§6):</t>
  </si>
  <si>
    <t>How to read the reconciliation match rate: recall/precision (97.5% / 99.5% on the shipped data) measure the algorithm's TIMING-RESOLUTION accuracy (recall vs. due-date window: 20% at ±5d, 48% at ±10d, 97.5% at ±30d) and its EXCEPTION DISCIPLINE (correctly leaving the 3 genuinely unmatchable AP settlements flagged rather than force-assigning them). It is NOT a measure of amount-fuzzing robustness: settlement amounts in the dataset were built to equal the ledger amount exactly — a known, disclosed simplification (see DATA_NOTES.md §1 and §6). Amount and name still gate and score every candidate; they just are not the hard part on this corpus.</t>
  </si>
  <si>
    <t>bucket</t>
  </si>
  <si>
    <t>AR</t>
  </si>
  <si>
    <t>AP</t>
  </si>
  <si>
    <t>current</t>
  </si>
  <si>
    <t>0-30</t>
  </si>
  <si>
    <t>31-60</t>
  </si>
  <si>
    <t>61-90</t>
  </si>
  <si>
    <t>90+</t>
  </si>
  <si>
    <t>week</t>
  </si>
  <si>
    <t>collections</t>
  </si>
  <si>
    <t>pipeline</t>
  </si>
  <si>
    <t>payments</t>
  </si>
  <si>
    <t>ending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</si>
  <si>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</si>
  <si>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</si>
  <si>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</si>
  <si>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</si>
  <si>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</si>
  <si>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</si>
  <si>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</si>
  <si>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</si>
  <si>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</si>
  <si>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</si>
  <si>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</si>
  <si>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</si>
  <si>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</si>
  <si>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AR — receivable invoices</t>
  </si>
  <si>
    <t>aging buckets and DSO are live formulas over the rows below; values cross-checked to the API on build.</t>
  </si>
  <si>
    <t>invoice id</t>
  </si>
  <si>
    <t>counterparty</t>
  </si>
  <si>
    <t>line role</t>
  </si>
  <si>
    <t>retreat</t>
  </si>
  <si>
    <t>invoice date</t>
  </si>
  <si>
    <t>due date</t>
  </si>
  <si>
    <t>amount</t>
  </si>
  <si>
    <t>status</t>
  </si>
  <si>
    <t>payment date</t>
  </si>
  <si>
    <t>days overdue</t>
  </si>
  <si>
    <t>aging bucket</t>
  </si>
  <si>
    <t>source ref</t>
  </si>
  <si>
    <t>AR0001</t>
  </si>
  <si>
    <t>Client H</t>
  </si>
  <si>
    <t>deposit</t>
  </si>
  <si>
    <t>RET_2025_01</t>
  </si>
  <si>
    <t>paid</t>
  </si>
  <si>
    <t>UCI_OR2:invoice=562153;cust=14088</t>
  </si>
  <si>
    <t>AR0006</t>
  </si>
  <si>
    <t>Client G</t>
  </si>
  <si>
    <t>RET_2025_03</t>
  </si>
  <si>
    <t>UCI_OR2:invoice=497958;cust=14680</t>
  </si>
  <si>
    <t>AR0004</t>
  </si>
  <si>
    <t>Client A</t>
  </si>
  <si>
    <t>RET_2025_02</t>
  </si>
  <si>
    <t>UCI_OR2:invoice=492169;cust=13680</t>
  </si>
  <si>
    <t>AR0008</t>
  </si>
  <si>
    <t>Client J</t>
  </si>
  <si>
    <t>RET_2025_04</t>
  </si>
  <si>
    <t>UCI_OR2:invoice=547510;cust=15245</t>
  </si>
  <si>
    <t>AR0012</t>
  </si>
  <si>
    <t>Client L</t>
  </si>
  <si>
    <t>RET_2025_06</t>
  </si>
  <si>
    <t>UCI_OR2:invoice=564327;cust=16029</t>
  </si>
  <si>
    <t>AR0002</t>
  </si>
  <si>
    <t>final</t>
  </si>
  <si>
    <t>UCI_OR2:invoice=580153;cust=12762</t>
  </si>
  <si>
    <t>AR0003</t>
  </si>
  <si>
    <t>addon</t>
  </si>
  <si>
    <t>UCI_OR2:invoice=496008;cust=14911;addon</t>
  </si>
  <si>
    <t>AR0010</t>
  </si>
  <si>
    <t>Client C</t>
  </si>
  <si>
    <t>RET_2025_05</t>
  </si>
  <si>
    <t>UCI_OR2:invoice=496801;cust=NA</t>
  </si>
  <si>
    <t>AR0016</t>
  </si>
  <si>
    <t>RET_2025_08</t>
  </si>
  <si>
    <t>UCI_OR2:invoice=571745;cust=14911</t>
  </si>
  <si>
    <t>AR0022</t>
  </si>
  <si>
    <t>RET_2025_10</t>
  </si>
  <si>
    <t>UCI_OR2:invoice=528616;cust=15485</t>
  </si>
  <si>
    <t>AR0005</t>
  </si>
  <si>
    <t>UCI_OR2:invoice=545582;cust=13694</t>
  </si>
  <si>
    <t>AR0007</t>
  </si>
  <si>
    <t>UCI_OR2:invoice=492098;cust=16749</t>
  </si>
  <si>
    <t>AR0014</t>
  </si>
  <si>
    <t>RET_2025_07</t>
  </si>
  <si>
    <t>UCI_OR2:invoice=506840;cust=12725</t>
  </si>
  <si>
    <t>AR0018</t>
  </si>
  <si>
    <t>RET_2025_09</t>
  </si>
  <si>
    <t>UCI_OR2:invoice=495232;cust=14156</t>
  </si>
  <si>
    <t>AR0009</t>
  </si>
  <si>
    <t>UCI_OR2:invoice=548324;cust=13316</t>
  </si>
  <si>
    <t>AR0028</t>
  </si>
  <si>
    <t>Client D</t>
  </si>
  <si>
    <t>RET_2025_13</t>
  </si>
  <si>
    <t>UCI_OR2:invoice=567794;cust=17581</t>
  </si>
  <si>
    <t>AR0026</t>
  </si>
  <si>
    <t>Client K</t>
  </si>
  <si>
    <t>RET_2025_12</t>
  </si>
  <si>
    <t>UCI_OR2:invoice=494432;cust=13694</t>
  </si>
  <si>
    <t>AR0011</t>
  </si>
  <si>
    <t>UCI_OR2:invoice=555531;cust=12678</t>
  </si>
  <si>
    <t>AR0013</t>
  </si>
  <si>
    <t>UCI_OR2:invoice=514221;cust=12653</t>
  </si>
  <si>
    <t>AR0024</t>
  </si>
  <si>
    <t>Client I</t>
  </si>
  <si>
    <t>RET_2025_11</t>
  </si>
  <si>
    <t>UCI_OR2:invoice=524205;cust=14911</t>
  </si>
  <si>
    <t>AR0015</t>
  </si>
  <si>
    <t>UCI_OR2:invoice=517454;cust=NA</t>
  </si>
  <si>
    <t>AR0032</t>
  </si>
  <si>
    <t>Client B</t>
  </si>
  <si>
    <t>RET_2025_15</t>
  </si>
  <si>
    <t>UCI_OR2:invoice=524938;cust=NA</t>
  </si>
  <si>
    <t>AR0017</t>
  </si>
  <si>
    <t>UCI_OR2:invoice=491148;cust=15061</t>
  </si>
  <si>
    <t>AR0030</t>
  </si>
  <si>
    <t>RET_2025_14</t>
  </si>
  <si>
    <t>UCI_OR2:invoice=557764;cust=13089</t>
  </si>
  <si>
    <t>AR0023</t>
  </si>
  <si>
    <t>UCI_OR2:invoice=513200;cust=NA</t>
  </si>
  <si>
    <t>AR0019</t>
  </si>
  <si>
    <t>UCI_OR2:invoice=568134;cust=NA</t>
  </si>
  <si>
    <t>AR0037</t>
  </si>
  <si>
    <t>RET_2026_17</t>
  </si>
  <si>
    <t>UCI_OR2:invoice=520428;cust=18093</t>
  </si>
  <si>
    <t>AR0021</t>
  </si>
  <si>
    <t>void</t>
  </si>
  <si>
    <t>—</t>
  </si>
  <si>
    <t>UCI_OR2:invoice=C517733;cust=18207;cancellation</t>
  </si>
  <si>
    <t>AR0035</t>
  </si>
  <si>
    <t>RET_2026_16</t>
  </si>
  <si>
    <t>UCI_OR2:invoice=539106;cust=16705</t>
  </si>
  <si>
    <t>AR0020</t>
  </si>
  <si>
    <t>UCI_OR2:invoice=540026;cust=NA;addon</t>
  </si>
  <si>
    <t>AR0027</t>
  </si>
  <si>
    <t>UCI_OR2:invoice=517404;cust=12939</t>
  </si>
  <si>
    <t>AR0025</t>
  </si>
  <si>
    <t>UCI_OR2:invoice=524446;cust=14049</t>
  </si>
  <si>
    <t>AR0040</t>
  </si>
  <si>
    <t>RET_2026_18</t>
  </si>
  <si>
    <t>UCI_OR2:invoice=492251;cust=14156</t>
  </si>
  <si>
    <t>AR0029</t>
  </si>
  <si>
    <t>UCI_OR2:invoice=566867;cust=13694</t>
  </si>
  <si>
    <t>AR0042</t>
  </si>
  <si>
    <t>RET_2026_19</t>
  </si>
  <si>
    <t>UCI_OR2:invoice=536938;cust=14680</t>
  </si>
  <si>
    <t>AR0033</t>
  </si>
  <si>
    <t>UCI_OR2:invoice=540154;cust=NA</t>
  </si>
  <si>
    <t>AR0034</t>
  </si>
  <si>
    <t>UCI_OR2:invoice=572082;cust=17672;addon</t>
  </si>
  <si>
    <t>AR0047</t>
  </si>
  <si>
    <t>RET_2026_21</t>
  </si>
  <si>
    <t>UCI_OR2:invoice=509973;cust=14938</t>
  </si>
  <si>
    <t>AR0031</t>
  </si>
  <si>
    <t>UCI_OR2:invoice=494382;cust=NA</t>
  </si>
  <si>
    <t>AR0051</t>
  </si>
  <si>
    <t>Client F</t>
  </si>
  <si>
    <t>RET_2026_23</t>
  </si>
  <si>
    <t>UCI_OR2:invoice=501832;cust=NA</t>
  </si>
  <si>
    <t>AR0038</t>
  </si>
  <si>
    <t>UCI_OR2:invoice=569740;cust=15769</t>
  </si>
  <si>
    <t>AR0045</t>
  </si>
  <si>
    <t>RET_2026_20</t>
  </si>
  <si>
    <t>UCI_OR2:invoice=575896;cust=12480</t>
  </si>
  <si>
    <t>AR0049</t>
  </si>
  <si>
    <t>RET_2026_22</t>
  </si>
  <si>
    <t>UCI_OR2:invoice=505883;cust=12471</t>
  </si>
  <si>
    <t>AR0039</t>
  </si>
  <si>
    <t>UCI_OR2:invoice=547250;cust=NA;addon</t>
  </si>
  <si>
    <t>AR0041</t>
  </si>
  <si>
    <t>UCI_OR2:invoice=511325;cust=13771</t>
  </si>
  <si>
    <t>AR0036</t>
  </si>
  <si>
    <t>UCI_OR2:invoice=573584;cust=16705</t>
  </si>
  <si>
    <t>AR0053</t>
  </si>
  <si>
    <t>RET_2026_24</t>
  </si>
  <si>
    <t>open</t>
  </si>
  <si>
    <t>UCI_OR2:invoice=553052;cust=15251</t>
  </si>
  <si>
    <t>AR0055</t>
  </si>
  <si>
    <t>RET_2026_25</t>
  </si>
  <si>
    <t>UCI_OR2:invoice=506577;cust=NA</t>
  </si>
  <si>
    <t>AR0043</t>
  </si>
  <si>
    <t>UCI_OR2:invoice=544075;cust=14156</t>
  </si>
  <si>
    <t>AR0044</t>
  </si>
  <si>
    <t>UCI_OR2:invoice=496024;cust=13089;addon</t>
  </si>
  <si>
    <t>AR0046</t>
  </si>
  <si>
    <t>UCI_OR2:invoice=566227;cust=14258</t>
  </si>
  <si>
    <t>AR0048</t>
  </si>
  <si>
    <t>UCI_OR2:invoice=569127;cust=15903</t>
  </si>
  <si>
    <t>AR0061</t>
  </si>
  <si>
    <t>RET_2026_27</t>
  </si>
  <si>
    <t>UCI_OR2:invoice=528419;cust=12615</t>
  </si>
  <si>
    <t>AR0052</t>
  </si>
  <si>
    <t>UCI_OR2:invoice=568567;cust=NA</t>
  </si>
  <si>
    <t>AR0058</t>
  </si>
  <si>
    <t>RET_2026_26</t>
  </si>
  <si>
    <t>UCI_OR2:invoice=562085;cust=15228</t>
  </si>
  <si>
    <t>AR0063</t>
  </si>
  <si>
    <t>RET_2026_28</t>
  </si>
  <si>
    <t>UCI_OR2:invoice=544673;cust=13421</t>
  </si>
  <si>
    <t>AR0050</t>
  </si>
  <si>
    <t>UCI_OR2:invoice=536638;cust=16244</t>
  </si>
  <si>
    <t>AR0054</t>
  </si>
  <si>
    <t>UCI_OR2:invoice=514280;cust=13081</t>
  </si>
  <si>
    <t>AR0065</t>
  </si>
  <si>
    <t>RET_2026_29</t>
  </si>
  <si>
    <t>UCI_OR2:invoice=578666;cust=17727</t>
  </si>
  <si>
    <t>AR0056</t>
  </si>
  <si>
    <t>UCI_OR2:invoice=519800;cust=18251</t>
  </si>
  <si>
    <t>AR0067</t>
  </si>
  <si>
    <t>RET_2026_30</t>
  </si>
  <si>
    <t>UCI_OR2:invoice=560828;cust=14298</t>
  </si>
  <si>
    <t>AR0071</t>
  </si>
  <si>
    <t>RET_2026_32</t>
  </si>
  <si>
    <t>UCI_OR2:invoice=572240;cust=13709</t>
  </si>
  <si>
    <t>AR0069</t>
  </si>
  <si>
    <t>RET_2026_31</t>
  </si>
  <si>
    <t>UCI_OR2:invoice=549833;cust=13458</t>
  </si>
  <si>
    <t>AR0057</t>
  </si>
  <si>
    <t>UCI_OR2:invoice=C501270;cust=14667;cancellation</t>
  </si>
  <si>
    <t>AR0060</t>
  </si>
  <si>
    <t>UCI_OR2:invoice=558368;cust=14329;addon</t>
  </si>
  <si>
    <t>AR0059</t>
  </si>
  <si>
    <t>UCI_OR2:invoice=571305;cust=NA</t>
  </si>
  <si>
    <t>AR0073</t>
  </si>
  <si>
    <t>RET_2026_33</t>
  </si>
  <si>
    <t>UCI_OR2:invoice=557938;cust=NA</t>
  </si>
  <si>
    <t>AR0062</t>
  </si>
  <si>
    <t>UCI_OR2:invoice=568319;cust=17389</t>
  </si>
  <si>
    <t>AR0077</t>
  </si>
  <si>
    <t>RET_2026_34</t>
  </si>
  <si>
    <t>UCI_OR2:invoice=504936;cust=NA</t>
  </si>
  <si>
    <t>AR0064</t>
  </si>
  <si>
    <t>UCI_OR2:invoice=507393;cust=14911</t>
  </si>
  <si>
    <t>AR0066</t>
  </si>
  <si>
    <t>UCI_OR2:invoice=566788;cust=14306</t>
  </si>
  <si>
    <t>AR0068</t>
  </si>
  <si>
    <t>UCI_OR2:invoice=506581;cust=14045</t>
  </si>
  <si>
    <t>AR0070</t>
  </si>
  <si>
    <t>UCI_OR2:invoice=575177;cust=NA</t>
  </si>
  <si>
    <t>AR0079</t>
  </si>
  <si>
    <t>Client E</t>
  </si>
  <si>
    <t>RET_2026_35</t>
  </si>
  <si>
    <t>UCI_OR2:invoice=572676;cust=16258</t>
  </si>
  <si>
    <t>AR0081</t>
  </si>
  <si>
    <t>RET_2026_36</t>
  </si>
  <si>
    <t>UCI_OR2:invoice=498729;cust=17829</t>
  </si>
  <si>
    <t>AR0072</t>
  </si>
  <si>
    <t>UCI_OR2:invoice=531395;cust=12435</t>
  </si>
  <si>
    <t>AR0086</t>
  </si>
  <si>
    <t>RET_2026_38</t>
  </si>
  <si>
    <t>UCI_OR2:invoice=537378;cust=14911</t>
  </si>
  <si>
    <t>AR0074</t>
  </si>
  <si>
    <t>UCI_OR2:invoice=571034;cust=12359</t>
  </si>
  <si>
    <t>AR0075</t>
  </si>
  <si>
    <t>UCI_OR2:invoice=510148;cust=16101;addon</t>
  </si>
  <si>
    <t>AR0076</t>
  </si>
  <si>
    <t>UCI_OR2:invoice=C511953;cust=NA;cancellation</t>
  </si>
  <si>
    <t>AR0078</t>
  </si>
  <si>
    <t>UCI_OR2:invoice=494016;cust=NA</t>
  </si>
  <si>
    <t>AR0083</t>
  </si>
  <si>
    <t>RET_2026_37</t>
  </si>
  <si>
    <t>UCI_OR2:invoice=548358;cust=15832</t>
  </si>
  <si>
    <t>AR0090</t>
  </si>
  <si>
    <t>RET_2026_40</t>
  </si>
  <si>
    <t>UCI_OR2:invoice=490953;cust=13204</t>
  </si>
  <si>
    <t>AR0088</t>
  </si>
  <si>
    <t>RET_2026_39</t>
  </si>
  <si>
    <t>UCI_OR2:invoice=572186;cust=16497</t>
  </si>
  <si>
    <t>AR0080</t>
  </si>
  <si>
    <t>UCI_OR2:invoice=569202;cust=NA</t>
  </si>
  <si>
    <t>AR0082</t>
  </si>
  <si>
    <t>UCI_OR2:invoice=558614;cust=NA</t>
  </si>
  <si>
    <t>AR0087</t>
  </si>
  <si>
    <t>UCI_OR2:invoice=557502;cust=NA</t>
  </si>
  <si>
    <t>AR0084</t>
  </si>
  <si>
    <t>UCI_OR2:invoice=575930;cust=NA</t>
  </si>
  <si>
    <t>AR0085</t>
  </si>
  <si>
    <t>UCI_OR2:invoice=553540;cust=17511;addon</t>
  </si>
  <si>
    <t>AR0091</t>
  </si>
  <si>
    <t>UCI_OR2:invoice=503401;cust=17428</t>
  </si>
  <si>
    <t>AR0089</t>
  </si>
  <si>
    <t>UCI_OR2:invoice=515192;cust=18225</t>
  </si>
  <si>
    <t>AR0092</t>
  </si>
  <si>
    <t>RET_2026_41</t>
  </si>
  <si>
    <t>UCI_OR2:invoice=525913;cust=16455</t>
  </si>
  <si>
    <t>AR aging &amp; DSO</t>
  </si>
  <si>
    <t>amount (formula)</t>
  </si>
  <si>
    <t>amount (API)</t>
  </si>
  <si>
    <t>match</t>
  </si>
  <si>
    <t>DSO open balance</t>
  </si>
  <si>
    <t>trailing-12m billed</t>
  </si>
  <si>
    <t>DSO = open / trailing × 365</t>
  </si>
  <si>
    <t>API DSO = 74.0</t>
  </si>
  <si>
    <t>benchmark range</t>
  </si>
  <si>
    <t>45.0–75.0 days (IN RANGE)</t>
  </si>
  <si>
    <t>AP — payable bills</t>
  </si>
  <si>
    <t>aging buckets and DPO are live formulas over the rows below; values cross-checked to the API on build.</t>
  </si>
  <si>
    <t>bill id</t>
  </si>
  <si>
    <t>category</t>
  </si>
  <si>
    <t>bill date</t>
  </si>
  <si>
    <t>AP0006</t>
  </si>
  <si>
    <t>Vendor 16 - Travel</t>
  </si>
  <si>
    <t>travel</t>
  </si>
  <si>
    <t>UCI_OR2:invoice=512045;cust=15856</t>
  </si>
  <si>
    <t>AP0014</t>
  </si>
  <si>
    <t>Vendor 07 - Catering</t>
  </si>
  <si>
    <t>catering</t>
  </si>
  <si>
    <t>UCI_OR2:invoice=506469;cust=13481</t>
  </si>
  <si>
    <t>AP0005</t>
  </si>
  <si>
    <t>Vendor 17 - Travel</t>
  </si>
  <si>
    <t>UCI_OR2:invoice=504150;cust=16700</t>
  </si>
  <si>
    <t>AP0017</t>
  </si>
  <si>
    <t>UCI_OR2:invoice=568894;cust=17528</t>
  </si>
  <si>
    <t>AP0004</t>
  </si>
  <si>
    <t>UCI_OR2:invoice=553713;cust=13798</t>
  </si>
  <si>
    <t>AP0013</t>
  </si>
  <si>
    <t>Vendor 06 - Venue</t>
  </si>
  <si>
    <t>venue</t>
  </si>
  <si>
    <t>UCI_OR2:invoice=528730;cust=13574</t>
  </si>
  <si>
    <t>AP0003</t>
  </si>
  <si>
    <t>Vendor 13 - Catering</t>
  </si>
  <si>
    <t>UCI_OR2:invoice=566426;cust=17865</t>
  </si>
  <si>
    <t>AP0027</t>
  </si>
  <si>
    <t>Vendor 15 - Travel</t>
  </si>
  <si>
    <t>UCI_OR2:invoice=548708;cust=13269</t>
  </si>
  <si>
    <t>AP0012</t>
  </si>
  <si>
    <t>Vendor 05 - Venue</t>
  </si>
  <si>
    <t>UCI_OR2:invoice=536026;cust=16556</t>
  </si>
  <si>
    <t>AP0007</t>
  </si>
  <si>
    <t>Vendor 14 - Travel</t>
  </si>
  <si>
    <t>UCI_OR2:invoice=512101;cust=12971</t>
  </si>
  <si>
    <t>AP0041</t>
  </si>
  <si>
    <t>Vendor 25 - Other</t>
  </si>
  <si>
    <t>other</t>
  </si>
  <si>
    <t>UCI_OR2:invoice=576692;cust=17412</t>
  </si>
  <si>
    <t>AP0021</t>
  </si>
  <si>
    <t>UCI_OR2:invoice=529198;cust=14475</t>
  </si>
  <si>
    <t>AP0061</t>
  </si>
  <si>
    <t>UCI_OR2:invoice=565728;cust=17716</t>
  </si>
  <si>
    <t>AP0015</t>
  </si>
  <si>
    <t>Vendor 12 - Catering</t>
  </si>
  <si>
    <t>UCI_OR2:invoice=529798;cust=16231</t>
  </si>
  <si>
    <t>AP0024</t>
  </si>
  <si>
    <t>Vendor 08 - Catering</t>
  </si>
  <si>
    <t>UCI_OR2:invoice=569046;cust=14422</t>
  </si>
  <si>
    <t>AP0002</t>
  </si>
  <si>
    <t>Vendor 03 - Venue</t>
  </si>
  <si>
    <t>UCI_OR2:invoice=520955;cust=15810</t>
  </si>
  <si>
    <t>AP0026</t>
  </si>
  <si>
    <t>UCI_OR2:invoice=524106;cust=18194</t>
  </si>
  <si>
    <t>AP0019</t>
  </si>
  <si>
    <t>Vendor 21 - Activities</t>
  </si>
  <si>
    <t>activities</t>
  </si>
  <si>
    <t>UCI_OR2:invoice=490378;cust=13641</t>
  </si>
  <si>
    <t>AP0050</t>
  </si>
  <si>
    <t>UCI_OR2:invoice=559864;cust=14916</t>
  </si>
  <si>
    <t>AP0016</t>
  </si>
  <si>
    <t>UCI_OR2:invoice=525524;cust=15750</t>
  </si>
  <si>
    <t>AP0018</t>
  </si>
  <si>
    <t>UCI_OR2:invoice=551284;cust=15005</t>
  </si>
  <si>
    <t>AP0040</t>
  </si>
  <si>
    <t>Vendor 23 - Activities</t>
  </si>
  <si>
    <t>UCI_OR2:invoice=542530;cust=15365</t>
  </si>
  <si>
    <t>AP0048</t>
  </si>
  <si>
    <t>UCI_OR2:invoice=516267;cust=NA</t>
  </si>
  <si>
    <t>AP0037</t>
  </si>
  <si>
    <t>UCI_OR2:invoice=549116;cust=16670</t>
  </si>
  <si>
    <t>AP0038</t>
  </si>
  <si>
    <t>UCI_OR2:invoice=527244;cust=15957</t>
  </si>
  <si>
    <t>AP0031</t>
  </si>
  <si>
    <t>Vendor 27 - Other</t>
  </si>
  <si>
    <t>UCI_OR2:invoice=506689;cust=15046</t>
  </si>
  <si>
    <t>AP0010</t>
  </si>
  <si>
    <t>Vendor 28 - Other</t>
  </si>
  <si>
    <t>UCI_OR2:invoice=491498;cust=12835</t>
  </si>
  <si>
    <t>AP0009</t>
  </si>
  <si>
    <t>Vendor 22 - Activities</t>
  </si>
  <si>
    <t>UCI_OR2:invoice=530848;cust=16705</t>
  </si>
  <si>
    <t>AP0057</t>
  </si>
  <si>
    <t>Vendor 11 - Catering</t>
  </si>
  <si>
    <t>UCI_OR2:invoice=578243;cust=13448</t>
  </si>
  <si>
    <t>AP0001</t>
  </si>
  <si>
    <t>Vendor 04 - Venue</t>
  </si>
  <si>
    <t>UCI_OR2:invoice=574717;cust=18170</t>
  </si>
  <si>
    <t>AP0032</t>
  </si>
  <si>
    <t>UCI_OR2:invoice=523211;cust=16465</t>
  </si>
  <si>
    <t>AP0043</t>
  </si>
  <si>
    <t>Vendor 01 - Venue</t>
  </si>
  <si>
    <t>UCI_OR2:invoice=496363;cust=12800</t>
  </si>
  <si>
    <t>AP0011</t>
  </si>
  <si>
    <t>UCI_OR2:invoice=514544;cust=17238</t>
  </si>
  <si>
    <t>AP0047</t>
  </si>
  <si>
    <t>UCI_OR2:invoice=542526;cust=14659</t>
  </si>
  <si>
    <t>AP0080</t>
  </si>
  <si>
    <t>UCI_OR2:invoice=521921;cust=12681</t>
  </si>
  <si>
    <t>AP0008</t>
  </si>
  <si>
    <t>Vendor 18 - Activities</t>
  </si>
  <si>
    <t>UCI_OR2:invoice=572280;cust=16007</t>
  </si>
  <si>
    <t>AP0064</t>
  </si>
  <si>
    <t>UCI_OR2:invoice=573392;cust=15376</t>
  </si>
  <si>
    <t>AP0042</t>
  </si>
  <si>
    <t>UCI_OR2:invoice=501387;cust=17241</t>
  </si>
  <si>
    <t>AP0052</t>
  </si>
  <si>
    <t>Vendor 19 - Activities</t>
  </si>
  <si>
    <t>UCI_OR2:invoice=513617;cust=16950</t>
  </si>
  <si>
    <t>AP0030</t>
  </si>
  <si>
    <t>UCI_OR2:invoice=512900;cust=14919</t>
  </si>
  <si>
    <t>AP0033</t>
  </si>
  <si>
    <t>UCI_OR2:invoice=555630;cust=14732</t>
  </si>
  <si>
    <t>AP0083</t>
  </si>
  <si>
    <t>UCI_OR2:invoice=559513;cust=14534</t>
  </si>
  <si>
    <t>AP0036</t>
  </si>
  <si>
    <t>UCI_OR2:invoice=567823;cust=12910</t>
  </si>
  <si>
    <t>AP0070</t>
  </si>
  <si>
    <t>UCI_OR2:invoice=555577;cust=15301</t>
  </si>
  <si>
    <t>AP0049</t>
  </si>
  <si>
    <t>UCI_OR2:invoice=581129;cust=15498</t>
  </si>
  <si>
    <t>AP0082</t>
  </si>
  <si>
    <t>UCI_OR2:invoice=507269;cust=13408</t>
  </si>
  <si>
    <t>AP0046</t>
  </si>
  <si>
    <t>Vendor 09 - Catering</t>
  </si>
  <si>
    <t>UCI_OR2:invoice=530975;cust=14001</t>
  </si>
  <si>
    <t>AP0020</t>
  </si>
  <si>
    <t>Vendor 26 - Other</t>
  </si>
  <si>
    <t>UCI_OR2:invoice=553882;cust=16672</t>
  </si>
  <si>
    <t>AP0068</t>
  </si>
  <si>
    <t>UCI_OR2:invoice=538992;cust=15950</t>
  </si>
  <si>
    <t>AP0056</t>
  </si>
  <si>
    <t>UCI_OR2:invoice=576904;cust=14931</t>
  </si>
  <si>
    <t>AP0069</t>
  </si>
  <si>
    <t>UCI_OR2:invoice=552816;cust=15521</t>
  </si>
  <si>
    <t>AP0073</t>
  </si>
  <si>
    <t>UCI_OR2:invoice=581057;cust=16817</t>
  </si>
  <si>
    <t>AP0034</t>
  </si>
  <si>
    <t>UCI_OR2:invoice=559922;cust=14400</t>
  </si>
  <si>
    <t>AP0023</t>
  </si>
  <si>
    <t>UCI_OR2:invoice=565198;cust=16729</t>
  </si>
  <si>
    <t>AP0066</t>
  </si>
  <si>
    <t>UCI_OR2:invoice=546863;cust=16377</t>
  </si>
  <si>
    <t>AP0063</t>
  </si>
  <si>
    <t>UCI_OR2:invoice=541795;cust=14692</t>
  </si>
  <si>
    <t>AP0022</t>
  </si>
  <si>
    <t>UCI_OR2:invoice=542208;cust=16422</t>
  </si>
  <si>
    <t>AP0097</t>
  </si>
  <si>
    <t>UCI_OR2:invoice=555929;cust=16525</t>
  </si>
  <si>
    <t>AP0059</t>
  </si>
  <si>
    <t>UCI_OR2:invoice=557645;cust=NA</t>
  </si>
  <si>
    <t>AP0054</t>
  </si>
  <si>
    <t>UCI_OR2:invoice=579427;cust=16479</t>
  </si>
  <si>
    <t>AP0035</t>
  </si>
  <si>
    <t>UCI_OR2:invoice=491014;cust=13136</t>
  </si>
  <si>
    <t>AP0025</t>
  </si>
  <si>
    <t>UCI_OR2:invoice=564631;cust=17451</t>
  </si>
  <si>
    <t>AP0028</t>
  </si>
  <si>
    <t>UCI_OR2:invoice=575938;cust=17790</t>
  </si>
  <si>
    <t>AP0090</t>
  </si>
  <si>
    <t>UCI_OR2:invoice=523391;cust=16013</t>
  </si>
  <si>
    <t>AP0079</t>
  </si>
  <si>
    <t>UCI_OR2:invoice=518795;cust=14276</t>
  </si>
  <si>
    <t>AP0051</t>
  </si>
  <si>
    <t>UCI_OR2:invoice=543292;cust=14534</t>
  </si>
  <si>
    <t>AP0029</t>
  </si>
  <si>
    <t>UCI_OR2:invoice=505775;cust=14942</t>
  </si>
  <si>
    <t>AP0039</t>
  </si>
  <si>
    <t>UCI_OR2:invoice=505773;cust=15058</t>
  </si>
  <si>
    <t>AP0058</t>
  </si>
  <si>
    <t>UCI_OR2:invoice=503875;cust=14813</t>
  </si>
  <si>
    <t>AP0081</t>
  </si>
  <si>
    <t>UCI_OR2:invoice=537428;cust=17320</t>
  </si>
  <si>
    <t>AP0060</t>
  </si>
  <si>
    <t>UCI_OR2:invoice=516019;cust=17694</t>
  </si>
  <si>
    <t>AP0062</t>
  </si>
  <si>
    <t>UCI_OR2:invoice=579404;cust=14126</t>
  </si>
  <si>
    <t>AP0084</t>
  </si>
  <si>
    <t>UCI_OR2:invoice=498223;cust=16447</t>
  </si>
  <si>
    <t>AP0072</t>
  </si>
  <si>
    <t>UCI_OR2:invoice=506107;cust=16354</t>
  </si>
  <si>
    <t>AP0055</t>
  </si>
  <si>
    <t>UCI_OR2:invoice=489580;cust=12921</t>
  </si>
  <si>
    <t>AP0085</t>
  </si>
  <si>
    <t>UCI_OR2:invoice=563736;cust=13784</t>
  </si>
  <si>
    <t>AP0078</t>
  </si>
  <si>
    <t>UCI_OR2:invoice=518427;cust=16282</t>
  </si>
  <si>
    <t>AP0067</t>
  </si>
  <si>
    <t>UCI_OR2:invoice=533962;cust=16535</t>
  </si>
  <si>
    <t>AP0095</t>
  </si>
  <si>
    <t>UCI_OR2:invoice=504454;cust=16809</t>
  </si>
  <si>
    <t>AP0074</t>
  </si>
  <si>
    <t>UCI_OR2:invoice=526178;cust=12839</t>
  </si>
  <si>
    <t>AP0086</t>
  </si>
  <si>
    <t>UCI_OR2:invoice=545534;cust=17652</t>
  </si>
  <si>
    <t>AP0075</t>
  </si>
  <si>
    <t>UCI_OR2:invoice=532795;cust=12591</t>
  </si>
  <si>
    <t>AP0071</t>
  </si>
  <si>
    <t>UCI_OR2:invoice=498905;cust=12854</t>
  </si>
  <si>
    <t>AP0044</t>
  </si>
  <si>
    <t>UCI_OR2:invoice=513210;cust=16325</t>
  </si>
  <si>
    <t>AP0107</t>
  </si>
  <si>
    <t>UCI_OR2:invoice=511039;cust=17589</t>
  </si>
  <si>
    <t>AP0045</t>
  </si>
  <si>
    <t>UCI_OR2:invoice=502594;cust=16090</t>
  </si>
  <si>
    <t>AP0065</t>
  </si>
  <si>
    <t>UCI_OR2:invoice=525875;cust=17908</t>
  </si>
  <si>
    <t>AP0103</t>
  </si>
  <si>
    <t>UCI_OR2:invoice=548017;cust=16871</t>
  </si>
  <si>
    <t>AP0091</t>
  </si>
  <si>
    <t>UCI_OR2:invoice=579191;cust=16684</t>
  </si>
  <si>
    <t>AP0118</t>
  </si>
  <si>
    <t>Vendor 20 - Activities</t>
  </si>
  <si>
    <t>UCI_OR2:invoice=555348;cust=15184</t>
  </si>
  <si>
    <t>AP0053</t>
  </si>
  <si>
    <t>Vendor 24 - Other</t>
  </si>
  <si>
    <t>UCI_OR2:invoice=521402;cust=12744</t>
  </si>
  <si>
    <t>AP0105</t>
  </si>
  <si>
    <t>UCI_OR2:invoice=534864;cust=13495</t>
  </si>
  <si>
    <t>AP0123</t>
  </si>
  <si>
    <t>UCI_OR2:invoice=567476;cust=14859</t>
  </si>
  <si>
    <t>AP0125</t>
  </si>
  <si>
    <t>UCI_OR2:invoice=489658;cust=15485</t>
  </si>
  <si>
    <t>AP0087</t>
  </si>
  <si>
    <t>Vendor 10 - Catering</t>
  </si>
  <si>
    <t>UCI_OR2:invoice=565800;cust=14911</t>
  </si>
  <si>
    <t>AP0093</t>
  </si>
  <si>
    <t>UCI_OR2:invoice=573280;cust=14221</t>
  </si>
  <si>
    <t>AP0109</t>
  </si>
  <si>
    <t>UCI_OR2:invoice=531747;cust=16458</t>
  </si>
  <si>
    <t>AP0098</t>
  </si>
  <si>
    <t>UCI_OR2:invoice=576880;cust=14911</t>
  </si>
  <si>
    <t>AP0126</t>
  </si>
  <si>
    <t>UCI_OR2:invoice=513815;cust=12647</t>
  </si>
  <si>
    <t>AP0120</t>
  </si>
  <si>
    <t>UCI_OR2:invoice=523471;cust=14182</t>
  </si>
  <si>
    <t>AP0089</t>
  </si>
  <si>
    <t>UCI_OR2:invoice=541120;cust=12490</t>
  </si>
  <si>
    <t>AP0102</t>
  </si>
  <si>
    <t>UCI_OR2:invoice=568944;cust=16589</t>
  </si>
  <si>
    <t>AP0088</t>
  </si>
  <si>
    <t>UCI_OR2:invoice=534715;cust=17598</t>
  </si>
  <si>
    <t>AP0076</t>
  </si>
  <si>
    <t>UCI_OR2:invoice=531795;cust=NA</t>
  </si>
  <si>
    <t>AP0124</t>
  </si>
  <si>
    <t>UCI_OR2:invoice=533528;cust=15750</t>
  </si>
  <si>
    <t>AP0077</t>
  </si>
  <si>
    <t>UCI_OR2:invoice=523909;cust=14092</t>
  </si>
  <si>
    <t>AP0106</t>
  </si>
  <si>
    <t>UCI_OR2:invoice=499853;cust=16520</t>
  </si>
  <si>
    <t>AP0096</t>
  </si>
  <si>
    <t>UCI_OR2:invoice=565674;cust=15271</t>
  </si>
  <si>
    <t>AP0100</t>
  </si>
  <si>
    <t>UCI_OR2:invoice=574909;cust=13673</t>
  </si>
  <si>
    <t>AP0119</t>
  </si>
  <si>
    <t>UCI_OR2:invoice=578787;cust=13589</t>
  </si>
  <si>
    <t>AP0099</t>
  </si>
  <si>
    <t>UCI_OR2:invoice=580648;cust=12628</t>
  </si>
  <si>
    <t>AP0092</t>
  </si>
  <si>
    <t>UCI_OR2:invoice=499069;cust=13944</t>
  </si>
  <si>
    <t>AP0138</t>
  </si>
  <si>
    <t>UCI_OR2:invoice=562263;cust=17514</t>
  </si>
  <si>
    <t>AP0132</t>
  </si>
  <si>
    <t>UCI_OR2:invoice=562951;cust=14462</t>
  </si>
  <si>
    <t>AP0121</t>
  </si>
  <si>
    <t>UCI_OR2:invoice=574728;cust=13719</t>
  </si>
  <si>
    <t>AP0136</t>
  </si>
  <si>
    <t>UCI_OR2:invoice=521467;cust=13842</t>
  </si>
  <si>
    <t>AP0114</t>
  </si>
  <si>
    <t>UCI_OR2:invoice=523580;cust=17949</t>
  </si>
  <si>
    <t>AP0127</t>
  </si>
  <si>
    <t>UCI_OR2:invoice=553188;cust=15379</t>
  </si>
  <si>
    <t>AP0148</t>
  </si>
  <si>
    <t>UCI_OR2:invoice=513642;cust=14676</t>
  </si>
  <si>
    <t>AP0162</t>
  </si>
  <si>
    <t>UCI_OR2:invoice=540073;cust=16814</t>
  </si>
  <si>
    <t>AP0141</t>
  </si>
  <si>
    <t>UCI_OR2:invoice=577209;cust=15621</t>
  </si>
  <si>
    <t>AP0128</t>
  </si>
  <si>
    <t>UCI_OR2:invoice=578526;cust=13995</t>
  </si>
  <si>
    <t>AP0117</t>
  </si>
  <si>
    <t>UCI_OR2:invoice=502851;cust=17068</t>
  </si>
  <si>
    <t>AP0139</t>
  </si>
  <si>
    <t>UCI_OR2:invoice=546017;cust=14507</t>
  </si>
  <si>
    <t>AP0108</t>
  </si>
  <si>
    <t>UCI_OR2:invoice=490563;cust=12471</t>
  </si>
  <si>
    <t>AP0101</t>
  </si>
  <si>
    <t>UCI_OR2:invoice=538629;cust=17799</t>
  </si>
  <si>
    <t>AP0115</t>
  </si>
  <si>
    <t>UCI_OR2:invoice=503353;cust=15311</t>
  </si>
  <si>
    <t>AP0146</t>
  </si>
  <si>
    <t>UCI_OR2:invoice=500163;cust=12399</t>
  </si>
  <si>
    <t>AP0110</t>
  </si>
  <si>
    <t>UCI_OR2:invoice=494905;cust=17245</t>
  </si>
  <si>
    <t>AP0140</t>
  </si>
  <si>
    <t>UCI_OR2:invoice=579181;cust=13881</t>
  </si>
  <si>
    <t>AP0130</t>
  </si>
  <si>
    <t>UCI_OR2:invoice=496471;cust=17905</t>
  </si>
  <si>
    <t>AP0094</t>
  </si>
  <si>
    <t>UCI_OR2:invoice=495367;cust=14070</t>
  </si>
  <si>
    <t>AP0122</t>
  </si>
  <si>
    <t>UCI_OR2:invoice=547380;cust=16809</t>
  </si>
  <si>
    <t>AP0116</t>
  </si>
  <si>
    <t>UCI_OR2:invoice=558182;cust=17386</t>
  </si>
  <si>
    <t>AP0176</t>
  </si>
  <si>
    <t>UCI_OR2:invoice=522913;cust=15026</t>
  </si>
  <si>
    <t>AP0135</t>
  </si>
  <si>
    <t>UCI_OR2:invoice=534703;cust=12662</t>
  </si>
  <si>
    <t>AP0104</t>
  </si>
  <si>
    <t>UCI_OR2:invoice=561097;cust=15981</t>
  </si>
  <si>
    <t>AP0164</t>
  </si>
  <si>
    <t>UCI_OR2:invoice=506112;cust=16210</t>
  </si>
  <si>
    <t>AP0113</t>
  </si>
  <si>
    <t>UCI_OR2:invoice=502648;cust=16210</t>
  </si>
  <si>
    <t>AP0160</t>
  </si>
  <si>
    <t>UCI_OR2:invoice=579954;cust=16701</t>
  </si>
  <si>
    <t>AP0134</t>
  </si>
  <si>
    <t>UCI_OR2:invoice=541488;cust=15061</t>
  </si>
  <si>
    <t>AP0147</t>
  </si>
  <si>
    <t>UCI_OR2:invoice=501529;cust=16777</t>
  </si>
  <si>
    <t>AP0142</t>
  </si>
  <si>
    <t>UCI_OR2:invoice=493941;cust=13199</t>
  </si>
  <si>
    <t>AP0111</t>
  </si>
  <si>
    <t>UCI_OR2:invoice=575499;cust=16003</t>
  </si>
  <si>
    <t>AP0143</t>
  </si>
  <si>
    <t>UCI_OR2:invoice=525074;cust=12747</t>
  </si>
  <si>
    <t>AP0156</t>
  </si>
  <si>
    <t>UCI_OR2:invoice=573921;cust=16352</t>
  </si>
  <si>
    <t>AP0173</t>
  </si>
  <si>
    <t>UCI_OR2:invoice=542893;cust=18202</t>
  </si>
  <si>
    <t>AP0129</t>
  </si>
  <si>
    <t>Vendor 02 - Venue</t>
  </si>
  <si>
    <t>UCI_OR2:invoice=542776;cust=15240</t>
  </si>
  <si>
    <t>AP0167</t>
  </si>
  <si>
    <t>UCI_OR2:invoice=528591;cust=NA</t>
  </si>
  <si>
    <t>AP0177</t>
  </si>
  <si>
    <t>UCI_OR2:invoice=564482;cust=13149</t>
  </si>
  <si>
    <t>AP0152</t>
  </si>
  <si>
    <t>UCI_OR2:invoice=551033;cust=15039</t>
  </si>
  <si>
    <t>AP0174</t>
  </si>
  <si>
    <t>UCI_OR2:invoice=500970;cust=12931</t>
  </si>
  <si>
    <t>AP0169</t>
  </si>
  <si>
    <t>UCI_OR2:invoice=563168;cust=16045</t>
  </si>
  <si>
    <t>AP0144</t>
  </si>
  <si>
    <t>UCI_OR2:invoice=553006;cust=15544</t>
  </si>
  <si>
    <t>AP0133</t>
  </si>
  <si>
    <t>UCI_OR2:invoice=542399;cust=15549</t>
  </si>
  <si>
    <t>AP0155</t>
  </si>
  <si>
    <t>UCI_OR2:invoice=531543;cust=13691</t>
  </si>
  <si>
    <t>AP0131</t>
  </si>
  <si>
    <t>UCI_OR2:invoice=538636;cust=14639</t>
  </si>
  <si>
    <t>AP0112</t>
  </si>
  <si>
    <t>UCI_OR2:invoice=501470;cust=17596</t>
  </si>
  <si>
    <t>AP0154</t>
  </si>
  <si>
    <t>UCI_OR2:invoice=489561;cust=14654</t>
  </si>
  <si>
    <t>AP0145</t>
  </si>
  <si>
    <t>UCI_OR2:invoice=581108;cust=15984</t>
  </si>
  <si>
    <t>AP0166</t>
  </si>
  <si>
    <t>UCI_OR2:invoice=516749;cust=14099</t>
  </si>
  <si>
    <t>AP0165</t>
  </si>
  <si>
    <t>UCI_OR2:invoice=572767;cust=17865</t>
  </si>
  <si>
    <t>AP0150</t>
  </si>
  <si>
    <t>UCI_OR2:invoice=575986;cust=13018</t>
  </si>
  <si>
    <t>AP0171</t>
  </si>
  <si>
    <t>UCI_OR2:invoice=539201;cust=14878</t>
  </si>
  <si>
    <t>AP0183</t>
  </si>
  <si>
    <t>UCI_OR2:invoice=556109;cust=13741</t>
  </si>
  <si>
    <t>AP0137</t>
  </si>
  <si>
    <t>UCI_OR2:invoice=574165;cust=14815</t>
  </si>
  <si>
    <t>AP0168</t>
  </si>
  <si>
    <t>UCI_OR2:invoice=554637;cust=14688</t>
  </si>
  <si>
    <t>AP0151</t>
  </si>
  <si>
    <t>UCI_OR2:invoice=519234;cust=17618</t>
  </si>
  <si>
    <t>AP0184</t>
  </si>
  <si>
    <t>UCI_OR2:invoice=512532;cust=16253</t>
  </si>
  <si>
    <t>AP0161</t>
  </si>
  <si>
    <t>UCI_OR2:invoice=543349;cust=17774</t>
  </si>
  <si>
    <t>AP0191</t>
  </si>
  <si>
    <t>UCI_OR2:invoice=517009;cust=NA</t>
  </si>
  <si>
    <t>AP0186</t>
  </si>
  <si>
    <t>UCI_OR2:invoice=504871;cust=12482</t>
  </si>
  <si>
    <t>AP0179</t>
  </si>
  <si>
    <t>UCI_OR2:invoice=525873;cust=16980</t>
  </si>
  <si>
    <t>AP0178</t>
  </si>
  <si>
    <t>UCI_OR2:invoice=513612;cust=14199</t>
  </si>
  <si>
    <t>AP0170</t>
  </si>
  <si>
    <t>UCI_OR2:invoice=570200;cust=16918</t>
  </si>
  <si>
    <t>AP0149</t>
  </si>
  <si>
    <t>UCI_OR2:invoice=577400;cust=16201</t>
  </si>
  <si>
    <t>AP0181</t>
  </si>
  <si>
    <t>UCI_OR2:invoice=562602;cust=12865</t>
  </si>
  <si>
    <t>AP0163</t>
  </si>
  <si>
    <t>UCI_OR2:invoice=538306;cust=12989</t>
  </si>
  <si>
    <t>AP0228</t>
  </si>
  <si>
    <t>UCI_OR2:invoice=502609;cust=17873</t>
  </si>
  <si>
    <t>AP0153</t>
  </si>
  <si>
    <t>UCI_OR2:invoice=531352;cust=13137</t>
  </si>
  <si>
    <t>AP0195</t>
  </si>
  <si>
    <t>UCI_OR2:invoice=556428;cust=NA</t>
  </si>
  <si>
    <t>AP0223</t>
  </si>
  <si>
    <t>UCI_OR2:invoice=580402;cust=13536</t>
  </si>
  <si>
    <t>AP0175</t>
  </si>
  <si>
    <t>UCI_OR2:invoice=560547;cust=17419</t>
  </si>
  <si>
    <t>AP0180</t>
  </si>
  <si>
    <t>UCI_OR2:invoice=512808;cust=16155</t>
  </si>
  <si>
    <t>AP0193</t>
  </si>
  <si>
    <t>UCI_OR2:invoice=577097;cust=17243</t>
  </si>
  <si>
    <t>AP0159</t>
  </si>
  <si>
    <t>UCI_OR2:invoice=544353;cust=18229</t>
  </si>
  <si>
    <t>AP0157</t>
  </si>
  <si>
    <t>UCI_OR2:invoice=576191;cust=17377</t>
  </si>
  <si>
    <t>AP0158</t>
  </si>
  <si>
    <t>UCI_OR2:invoice=558474;cust=16553</t>
  </si>
  <si>
    <t>AP0207</t>
  </si>
  <si>
    <t>UCI_OR2:invoice=547090;cust=17230</t>
  </si>
  <si>
    <t>AP0187</t>
  </si>
  <si>
    <t>UCI_OR2:invoice=557414;cust=15840</t>
  </si>
  <si>
    <t>AP0198</t>
  </si>
  <si>
    <t>UCI_OR2:invoice=551517;cust=16931</t>
  </si>
  <si>
    <t>AP0188</t>
  </si>
  <si>
    <t>UCI_OR2:invoice=571717;cust=14381</t>
  </si>
  <si>
    <t>AP0201</t>
  </si>
  <si>
    <t>UCI_OR2:invoice=533554;cust=13605</t>
  </si>
  <si>
    <t>AP0216</t>
  </si>
  <si>
    <t>UCI_OR2:invoice=503354;cust=15573</t>
  </si>
  <si>
    <t>AP0214</t>
  </si>
  <si>
    <t>UCI_OR2:invoice=512895;cust=15031</t>
  </si>
  <si>
    <t>AP0190</t>
  </si>
  <si>
    <t>UCI_OR2:invoice=565785;cust=12461</t>
  </si>
  <si>
    <t>AP0192</t>
  </si>
  <si>
    <t>UCI_OR2:invoice=575700;cust=15111</t>
  </si>
  <si>
    <t>AP0246</t>
  </si>
  <si>
    <t>UCI_OR2:invoice=526893;cust=12379</t>
  </si>
  <si>
    <t>AP0199</t>
  </si>
  <si>
    <t>UCI_OR2:invoice=570501;cust=14857</t>
  </si>
  <si>
    <t>AP0185</t>
  </si>
  <si>
    <t>UCI_OR2:invoice=495183;cust=15296</t>
  </si>
  <si>
    <t>AP0182</t>
  </si>
  <si>
    <t>UCI_OR2:invoice=562377;cust=14535</t>
  </si>
  <si>
    <t>AP0211</t>
  </si>
  <si>
    <t>UCI_OR2:invoice=536397;cust=17924</t>
  </si>
  <si>
    <t>AP0196</t>
  </si>
  <si>
    <t>UCI_OR2:invoice=525225;cust=17841</t>
  </si>
  <si>
    <t>AP0233</t>
  </si>
  <si>
    <t>UCI_OR2:invoice=540023;cust=15039</t>
  </si>
  <si>
    <t>AP0172</t>
  </si>
  <si>
    <t>UCI_OR2:invoice=533281;cust=13789</t>
  </si>
  <si>
    <t>AP0212</t>
  </si>
  <si>
    <t>UCI_OR2:invoice=553831;cust=14442</t>
  </si>
  <si>
    <t>AP0232</t>
  </si>
  <si>
    <t>UCI_OR2:invoice=535181;cust=15084</t>
  </si>
  <si>
    <t>AP0197</t>
  </si>
  <si>
    <t>UCI_OR2:invoice=501680;cust=NA</t>
  </si>
  <si>
    <t>AP0256</t>
  </si>
  <si>
    <t>UCI_OR2:invoice=532612;cust=13601</t>
  </si>
  <si>
    <t>AP0226</t>
  </si>
  <si>
    <t>UCI_OR2:invoice=571413;cust=13923</t>
  </si>
  <si>
    <t>AP0194</t>
  </si>
  <si>
    <t>UCI_OR2:invoice=496092;cust=13085</t>
  </si>
  <si>
    <t>AP0202</t>
  </si>
  <si>
    <t>UCI_OR2:invoice=551054;cust=12429</t>
  </si>
  <si>
    <t>AP0236</t>
  </si>
  <si>
    <t>UCI_OR2:invoice=515474;cust=17950</t>
  </si>
  <si>
    <t>AP0209</t>
  </si>
  <si>
    <t>UCI_OR2:invoice=533798;cust=13004</t>
  </si>
  <si>
    <t>AP0243</t>
  </si>
  <si>
    <t>UCI_OR2:invoice=546534;cust=16150</t>
  </si>
  <si>
    <t>AP0215</t>
  </si>
  <si>
    <t>UCI_OR2:invoice=512929;cust=16710</t>
  </si>
  <si>
    <t>AP0189</t>
  </si>
  <si>
    <t>UCI_OR2:invoice=495075;cust=16019</t>
  </si>
  <si>
    <t>AP0250</t>
  </si>
  <si>
    <t>UCI_OR2:invoice=524952;cust=NA</t>
  </si>
  <si>
    <t>AP0204</t>
  </si>
  <si>
    <t>UCI_OR2:invoice=567959;cust=12516</t>
  </si>
  <si>
    <t>AP0253</t>
  </si>
  <si>
    <t>UCI_OR2:invoice=490109;cust=14755</t>
  </si>
  <si>
    <t>AP0247</t>
  </si>
  <si>
    <t>UCI_OR2:invoice=550901;cust=13389</t>
  </si>
  <si>
    <t>AP0257</t>
  </si>
  <si>
    <t>UCI_OR2:invoice=565333;cust=12375</t>
  </si>
  <si>
    <t>AP0200</t>
  </si>
  <si>
    <t>UCI_OR2:invoice=542105;cust=12854</t>
  </si>
  <si>
    <t>AP0203</t>
  </si>
  <si>
    <t>UCI_OR2:invoice=576597;cust=14194</t>
  </si>
  <si>
    <t>AP0225</t>
  </si>
  <si>
    <t>UCI_OR2:invoice=492340;cust=17954</t>
  </si>
  <si>
    <t>AP0237</t>
  </si>
  <si>
    <t>UCI_OR2:invoice=576605;cust=14562</t>
  </si>
  <si>
    <t>AP0244</t>
  </si>
  <si>
    <t>UCI_OR2:invoice=550134;cust=16249</t>
  </si>
  <si>
    <t>AP0227</t>
  </si>
  <si>
    <t>UCI_OR2:invoice=493843;cust=15100</t>
  </si>
  <si>
    <t>AP0265</t>
  </si>
  <si>
    <t>UCI_OR2:invoice=513768;cust=17667</t>
  </si>
  <si>
    <t>AP0213</t>
  </si>
  <si>
    <t>UCI_OR2:invoice=568070;cust=16128</t>
  </si>
  <si>
    <t>AP0205</t>
  </si>
  <si>
    <t>UCI_OR2:invoice=496298;cust=NA</t>
  </si>
  <si>
    <t>AP0248</t>
  </si>
  <si>
    <t>UCI_OR2:invoice=559985;cust=16488</t>
  </si>
  <si>
    <t>AP0217</t>
  </si>
  <si>
    <t>UCI_OR2:invoice=512560;cust=17931</t>
  </si>
  <si>
    <t>AP0266</t>
  </si>
  <si>
    <t>UCI_OR2:invoice=549300;cust=13362</t>
  </si>
  <si>
    <t>AP0254</t>
  </si>
  <si>
    <t>UCI_OR2:invoice=556034;cust=16672</t>
  </si>
  <si>
    <t>AP0235</t>
  </si>
  <si>
    <t>UCI_OR2:invoice=564314;cust=12695</t>
  </si>
  <si>
    <t>AP0222</t>
  </si>
  <si>
    <t>UCI_OR2:invoice=534847;cust=14646</t>
  </si>
  <si>
    <t>AP0221</t>
  </si>
  <si>
    <t>UCI_OR2:invoice=543248;cust=16029</t>
  </si>
  <si>
    <t>AP0218</t>
  </si>
  <si>
    <t>UCI_OR2:invoice=496462;cust=13628</t>
  </si>
  <si>
    <t>AP0206</t>
  </si>
  <si>
    <t>UCI_OR2:invoice=570699;cust=15421</t>
  </si>
  <si>
    <t>AP0263</t>
  </si>
  <si>
    <t>UCI_OR2:invoice=536539;cust=15165</t>
  </si>
  <si>
    <t>AP0230</t>
  </si>
  <si>
    <t>UCI_OR2:invoice=579527;cust=18210</t>
  </si>
  <si>
    <t>AP0242</t>
  </si>
  <si>
    <t>UCI_OR2:invoice=576926;cust=14113</t>
  </si>
  <si>
    <t>AP0208</t>
  </si>
  <si>
    <t>UCI_OR2:invoice=553711;cust=13552</t>
  </si>
  <si>
    <t>AP0231</t>
  </si>
  <si>
    <t>UCI_OR2:invoice=521307;cust=16823</t>
  </si>
  <si>
    <t>AP0224</t>
  </si>
  <si>
    <t>UCI_OR2:invoice=564565;cust=14911</t>
  </si>
  <si>
    <t>AP0268</t>
  </si>
  <si>
    <t>UCI_OR2:invoice=564507;cust=15513</t>
  </si>
  <si>
    <t>AP0234</t>
  </si>
  <si>
    <t>UCI_OR2:invoice=535998;cust=16923</t>
  </si>
  <si>
    <t>AP0261</t>
  </si>
  <si>
    <t>UCI_OR2:invoice=525237;cust=14916</t>
  </si>
  <si>
    <t>AP0210</t>
  </si>
  <si>
    <t>UCI_OR2:invoice=574550;cust=12484</t>
  </si>
  <si>
    <t>AP0284</t>
  </si>
  <si>
    <t>UCI_OR2:invoice=499237;cust=13735</t>
  </si>
  <si>
    <t>AP0255</t>
  </si>
  <si>
    <t>UCI_OR2:invoice=537399;cust=13030</t>
  </si>
  <si>
    <t>AP0251</t>
  </si>
  <si>
    <t>UCI_OR2:invoice=575169;cust=14367</t>
  </si>
  <si>
    <t>AP0273</t>
  </si>
  <si>
    <t>UCI_OR2:invoice=562123;cust=17353</t>
  </si>
  <si>
    <t>AP0249</t>
  </si>
  <si>
    <t>UCI_OR2:invoice=522935;cust=NA</t>
  </si>
  <si>
    <t>AP0260</t>
  </si>
  <si>
    <t>UCI_OR2:invoice=491717;cust=16725</t>
  </si>
  <si>
    <t>AP0238</t>
  </si>
  <si>
    <t>UCI_OR2:invoice=548190;cust=17511</t>
  </si>
  <si>
    <t>AP0245</t>
  </si>
  <si>
    <t>UCI_OR2:invoice=568158;cust=16133</t>
  </si>
  <si>
    <t>AP0292</t>
  </si>
  <si>
    <t>UCI_OR2:invoice=519607;cust=14505</t>
  </si>
  <si>
    <t>AP0229</t>
  </si>
  <si>
    <t>UCI_OR2:invoice=575415;cust=16168</t>
  </si>
  <si>
    <t>AP0241</t>
  </si>
  <si>
    <t>UCI_OR2:invoice=559138;cust=16919</t>
  </si>
  <si>
    <t>AP0239</t>
  </si>
  <si>
    <t>UCI_OR2:invoice=541413;cust=13859</t>
  </si>
  <si>
    <t>AP0219</t>
  </si>
  <si>
    <t>UCI_OR2:invoice=537792;cust=16385</t>
  </si>
  <si>
    <t>AP0240</t>
  </si>
  <si>
    <t>UCI_OR2:invoice=511889;cust=13013</t>
  </si>
  <si>
    <t>AP0275</t>
  </si>
  <si>
    <t>UCI_OR2:invoice=580956;cust=17841</t>
  </si>
  <si>
    <t>AP0299</t>
  </si>
  <si>
    <t>UCI_OR2:invoice=526853;cust=12540</t>
  </si>
  <si>
    <t>AP0220</t>
  </si>
  <si>
    <t>UCI_OR2:invoice=499270;cust=12500</t>
  </si>
  <si>
    <t>AP0303</t>
  </si>
  <si>
    <t>UCI_OR2:invoice=542894;cust=12775</t>
  </si>
  <si>
    <t>AP0281</t>
  </si>
  <si>
    <t>UCI_OR2:invoice=537241;cust=14293</t>
  </si>
  <si>
    <t>AP0290</t>
  </si>
  <si>
    <t>UCI_OR2:invoice=527459;cust=16069</t>
  </si>
  <si>
    <t>AP0271</t>
  </si>
  <si>
    <t>UCI_OR2:invoice=555008;cust=17061</t>
  </si>
  <si>
    <t>AP0252</t>
  </si>
  <si>
    <t>UCI_OR2:invoice=547726;cust=16029</t>
  </si>
  <si>
    <t>AP0289</t>
  </si>
  <si>
    <t>UCI_OR2:invoice=553762;cust=18145</t>
  </si>
  <si>
    <t>AP0258</t>
  </si>
  <si>
    <t>UCI_OR2:invoice=572569;cust=17870</t>
  </si>
  <si>
    <t>AP0302</t>
  </si>
  <si>
    <t>UCI_OR2:invoice=490073;cust=14905</t>
  </si>
  <si>
    <t>AP0300</t>
  </si>
  <si>
    <t>UCI_OR2:invoice=540157;cust=15311</t>
  </si>
  <si>
    <t>AP0320</t>
  </si>
  <si>
    <t>UCI_OR2:invoice=511105;cust=13815</t>
  </si>
  <si>
    <t>AP0259</t>
  </si>
  <si>
    <t>UCI_OR2:invoice=499379;cust=14177</t>
  </si>
  <si>
    <t>AP0269</t>
  </si>
  <si>
    <t>UCI_OR2:invoice=520353;cust=17746</t>
  </si>
  <si>
    <t>AP0287</t>
  </si>
  <si>
    <t>UCI_OR2:invoice=521935;cust=15755</t>
  </si>
  <si>
    <t>AP0276</t>
  </si>
  <si>
    <t>UCI_OR2:invoice=545859;cust=15498</t>
  </si>
  <si>
    <t>AP0264</t>
  </si>
  <si>
    <t>UCI_OR2:invoice=536861;cust=12427</t>
  </si>
  <si>
    <t>AP0267</t>
  </si>
  <si>
    <t>UCI_OR2:invoice=566862;cust=13018</t>
  </si>
  <si>
    <t>AP0272</t>
  </si>
  <si>
    <t>UCI_OR2:invoice=524190;cust=16362</t>
  </si>
  <si>
    <t>AP0315</t>
  </si>
  <si>
    <t>UCI_OR2:invoice=580746;cust=12584</t>
  </si>
  <si>
    <t>AP0278</t>
  </si>
  <si>
    <t>UCI_OR2:invoice=509952;cust=NA</t>
  </si>
  <si>
    <t>AP0274</t>
  </si>
  <si>
    <t>UCI_OR2:invoice=543731;cust=17677</t>
  </si>
  <si>
    <t>AP0301</t>
  </si>
  <si>
    <t>UCI_OR2:invoice=542231;cust=16714</t>
  </si>
  <si>
    <t>AP0314</t>
  </si>
  <si>
    <t>UCI_OR2:invoice=509700;cust=13989</t>
  </si>
  <si>
    <t>AP0291</t>
  </si>
  <si>
    <t>UCI_OR2:invoice=500169;cust=12497</t>
  </si>
  <si>
    <t>AP0270</t>
  </si>
  <si>
    <t>UCI_OR2:invoice=550925;cust=17061</t>
  </si>
  <si>
    <t>AP0309</t>
  </si>
  <si>
    <t>UCI_OR2:invoice=581334;cust=17841</t>
  </si>
  <si>
    <t>AP0277</t>
  </si>
  <si>
    <t>UCI_OR2:invoice=503968;cust=15129</t>
  </si>
  <si>
    <t>AP0295</t>
  </si>
  <si>
    <t>UCI_OR2:invoice=568131;cust=16872</t>
  </si>
  <si>
    <t>AP0317</t>
  </si>
  <si>
    <t>UCI_OR2:invoice=494029;cust=12913</t>
  </si>
  <si>
    <t>AP0285</t>
  </si>
  <si>
    <t>UCI_OR2:invoice=545069;cust=14745</t>
  </si>
  <si>
    <t>AP0330</t>
  </si>
  <si>
    <t>UCI_OR2:invoice=539049;cust=15615</t>
  </si>
  <si>
    <t>AP0262</t>
  </si>
  <si>
    <t>UCI_OR2:invoice=545471;cust=15087</t>
  </si>
  <si>
    <t>AP0335</t>
  </si>
  <si>
    <t>UCI_OR2:invoice=549573;cust=14504</t>
  </si>
  <si>
    <t>AP0282</t>
  </si>
  <si>
    <t>UCI_OR2:invoice=529595;cust=15887</t>
  </si>
  <si>
    <t>AP0312</t>
  </si>
  <si>
    <t>UCI_OR2:invoice=543543;cust=17843</t>
  </si>
  <si>
    <t>AP0293</t>
  </si>
  <si>
    <t>UCI_OR2:invoice=572870;cust=13408</t>
  </si>
  <si>
    <t>AP0297</t>
  </si>
  <si>
    <t>UCI_OR2:invoice=560291;cust=NA</t>
  </si>
  <si>
    <t>AP0304</t>
  </si>
  <si>
    <t>UCI_OR2:invoice=539502;cust=14099</t>
  </si>
  <si>
    <t>AP0283</t>
  </si>
  <si>
    <t>UCI_OR2:invoice=568716;cust=NA</t>
  </si>
  <si>
    <t>AP0340</t>
  </si>
  <si>
    <t>UCI_OR2:invoice=557221;cust=16869</t>
  </si>
  <si>
    <t>AP0319</t>
  </si>
  <si>
    <t>UCI_OR2:invoice=581433;cust=14911</t>
  </si>
  <si>
    <t>AP0331</t>
  </si>
  <si>
    <t>UCI_OR2:invoice=554164;cust=14364</t>
  </si>
  <si>
    <t>AP0279</t>
  </si>
  <si>
    <t>UCI_OR2:invoice=558647;cust=14868</t>
  </si>
  <si>
    <t>AP0294</t>
  </si>
  <si>
    <t>UCI_OR2:invoice=543553;cust=16359</t>
  </si>
  <si>
    <t>AP0318</t>
  </si>
  <si>
    <t>UCI_OR2:invoice=503836;cust=12482</t>
  </si>
  <si>
    <t>AP0310</t>
  </si>
  <si>
    <t>UCI_OR2:invoice=494490;cust=17850</t>
  </si>
  <si>
    <t>AP0332</t>
  </si>
  <si>
    <t>UCI_OR2:invoice=498571;cust=15774</t>
  </si>
  <si>
    <t>AP0298</t>
  </si>
  <si>
    <t>UCI_OR2:invoice=514705;cust=16558</t>
  </si>
  <si>
    <t>AP0280</t>
  </si>
  <si>
    <t>UCI_OR2:invoice=543332;cust=13955</t>
  </si>
  <si>
    <t>AP0286</t>
  </si>
  <si>
    <t>UCI_OR2:invoice=518661;cust=16926</t>
  </si>
  <si>
    <t>AP0313</t>
  </si>
  <si>
    <t>UCI_OR2:invoice=496294;cust=17243</t>
  </si>
  <si>
    <t>AP0323</t>
  </si>
  <si>
    <t>UCI_OR2:invoice=541252;cust=13064</t>
  </si>
  <si>
    <t>AP0355</t>
  </si>
  <si>
    <t>UCI_OR2:invoice=506252;cust=14399</t>
  </si>
  <si>
    <t>AP0288</t>
  </si>
  <si>
    <t>UCI_OR2:invoice=562093;cust=13777</t>
  </si>
  <si>
    <t>AP0296</t>
  </si>
  <si>
    <t>UCI_OR2:invoice=550006;cust=17841</t>
  </si>
  <si>
    <t>AP0361</t>
  </si>
  <si>
    <t>UCI_OR2:invoice=551005;cust=NA</t>
  </si>
  <si>
    <t>AP0327</t>
  </si>
  <si>
    <t>UCI_OR2:invoice=551181;cust=13089</t>
  </si>
  <si>
    <t>AP0311</t>
  </si>
  <si>
    <t>UCI_OR2:invoice=509596;cust=15808</t>
  </si>
  <si>
    <t>AP0358</t>
  </si>
  <si>
    <t>UCI_OR2:invoice=509198;cust=14156</t>
  </si>
  <si>
    <t>AP0305</t>
  </si>
  <si>
    <t>UCI_OR2:invoice=578059;cust=13940</t>
  </si>
  <si>
    <t>AP0336</t>
  </si>
  <si>
    <t>UCI_OR2:invoice=560577;cust=18223</t>
  </si>
  <si>
    <t>AP0329</t>
  </si>
  <si>
    <t>UCI_OR2:invoice=520873;cust=14233</t>
  </si>
  <si>
    <t>AP0351</t>
  </si>
  <si>
    <t>UCI_OR2:invoice=509155;cust=17758</t>
  </si>
  <si>
    <t>AP0307</t>
  </si>
  <si>
    <t>UCI_OR2:invoice=517317;cust=15596</t>
  </si>
  <si>
    <t>AP0348</t>
  </si>
  <si>
    <t>UCI_OR2:invoice=547892;cust=12669</t>
  </si>
  <si>
    <t>AP0342</t>
  </si>
  <si>
    <t>UCI_OR2:invoice=568569;cust=17857</t>
  </si>
  <si>
    <t>AP0321</t>
  </si>
  <si>
    <t>UCI_OR2:invoice=500010;cust=13377</t>
  </si>
  <si>
    <t>AP0352</t>
  </si>
  <si>
    <t>UCI_OR2:invoice=509163;cust=15311</t>
  </si>
  <si>
    <t>AP0325</t>
  </si>
  <si>
    <t>UCI_OR2:invoice=569471;cust=15046</t>
  </si>
  <si>
    <t>AP0326</t>
  </si>
  <si>
    <t>UCI_OR2:invoice=528407;cust=17863</t>
  </si>
  <si>
    <t>AP0306</t>
  </si>
  <si>
    <t>UCI_OR2:invoice=522029;cust=12474</t>
  </si>
  <si>
    <t>AP0350</t>
  </si>
  <si>
    <t>UCI_OR2:invoice=510678;cust=15812</t>
  </si>
  <si>
    <t>AP0346</t>
  </si>
  <si>
    <t>UCI_OR2:invoice=554826;cust=12493</t>
  </si>
  <si>
    <t>AP0360</t>
  </si>
  <si>
    <t>UCI_OR2:invoice=522773;cust=12369</t>
  </si>
  <si>
    <t>AP0322</t>
  </si>
  <si>
    <t>UCI_OR2:invoice=548710;cust=16678</t>
  </si>
  <si>
    <t>AP0379</t>
  </si>
  <si>
    <t>UCI_OR2:invoice=548533;cust=13883</t>
  </si>
  <si>
    <t>AP0339</t>
  </si>
  <si>
    <t>UCI_OR2:invoice=546760;cust=12597</t>
  </si>
  <si>
    <t>AP0328</t>
  </si>
  <si>
    <t>UCI_OR2:invoice=526097;cust=16029</t>
  </si>
  <si>
    <t>AP0341</t>
  </si>
  <si>
    <t>UCI_OR2:invoice=516494;cust=13048</t>
  </si>
  <si>
    <t>AP0354</t>
  </si>
  <si>
    <t>UCI_OR2:invoice=567709;cust=15239</t>
  </si>
  <si>
    <t>AP0308</t>
  </si>
  <si>
    <t>UCI_OR2:invoice=535252;cust=17457</t>
  </si>
  <si>
    <t>AP0343</t>
  </si>
  <si>
    <t>UCI_OR2:invoice=562931;cust=14030</t>
  </si>
  <si>
    <t>AP0324</t>
  </si>
  <si>
    <t>UCI_OR2:invoice=571129;cust=14156</t>
  </si>
  <si>
    <t>AP0384</t>
  </si>
  <si>
    <t>UCI_OR2:invoice=514836;cust=14186</t>
  </si>
  <si>
    <t>AP0377</t>
  </si>
  <si>
    <t>UCI_OR2:invoice=535576;cust=12865</t>
  </si>
  <si>
    <t>AP0334</t>
  </si>
  <si>
    <t>UCI_OR2:invoice=575943;cust=17920</t>
  </si>
  <si>
    <t>AP0333</t>
  </si>
  <si>
    <t>UCI_OR2:invoice=522910;cust=12748</t>
  </si>
  <si>
    <t>AP0338</t>
  </si>
  <si>
    <t>UCI_OR2:invoice=579867;cust=16265</t>
  </si>
  <si>
    <t>AP0347</t>
  </si>
  <si>
    <t>UCI_OR2:invoice=539012;cust=17858</t>
  </si>
  <si>
    <t>AP0337</t>
  </si>
  <si>
    <t>UCI_OR2:invoice=524577;cust=16202</t>
  </si>
  <si>
    <t>AP0373</t>
  </si>
  <si>
    <t>UCI_OR2:invoice=508374;cust=16588</t>
  </si>
  <si>
    <t>AP0316</t>
  </si>
  <si>
    <t>UCI_OR2:invoice=540273;cust=17368</t>
  </si>
  <si>
    <t>AP0367</t>
  </si>
  <si>
    <t>UCI_OR2:invoice=533148;cust=13624</t>
  </si>
  <si>
    <t>AP0344</t>
  </si>
  <si>
    <t>UCI_OR2:invoice=571748;cust=18077</t>
  </si>
  <si>
    <t>AP0349</t>
  </si>
  <si>
    <t>UCI_OR2:invoice=512748;cust=NA</t>
  </si>
  <si>
    <t>AP0387</t>
  </si>
  <si>
    <t>UCI_OR2:invoice=545410;cust=16670</t>
  </si>
  <si>
    <t>AP0363</t>
  </si>
  <si>
    <t>UCI_OR2:invoice=524000;cust=16794</t>
  </si>
  <si>
    <t>AP0364</t>
  </si>
  <si>
    <t>UCI_OR2:invoice=506681;cust=17519</t>
  </si>
  <si>
    <t>AP0359</t>
  </si>
  <si>
    <t>UCI_OR2:invoice=537781;cust=17341</t>
  </si>
  <si>
    <t>AP0390</t>
  </si>
  <si>
    <t>UCI_OR2:invoice=532616;cust=NA</t>
  </si>
  <si>
    <t>AP0353</t>
  </si>
  <si>
    <t>UCI_OR2:invoice=520142;cust=15452</t>
  </si>
  <si>
    <t>AP0378</t>
  </si>
  <si>
    <t>UCI_OR2:invoice=505635;cust=14852</t>
  </si>
  <si>
    <t>AP0392</t>
  </si>
  <si>
    <t>UCI_OR2:invoice=505448;cust=17646</t>
  </si>
  <si>
    <t>AP0366</t>
  </si>
  <si>
    <t>UCI_OR2:invoice=532983;cust=14911</t>
  </si>
  <si>
    <t>AP0356</t>
  </si>
  <si>
    <t>UCI_OR2:invoice=523321;cust=17046</t>
  </si>
  <si>
    <t>AP0383</t>
  </si>
  <si>
    <t>UCI_OR2:invoice=580877;cust=17250</t>
  </si>
  <si>
    <t>AP0374</t>
  </si>
  <si>
    <t>UCI_OR2:invoice=501668;cust=NA</t>
  </si>
  <si>
    <t>AP0345</t>
  </si>
  <si>
    <t>UCI_OR2:invoice=514106;cust=18053</t>
  </si>
  <si>
    <t>AP0368</t>
  </si>
  <si>
    <t>UCI_OR2:invoice=516788;cust=16843</t>
  </si>
  <si>
    <t>AP0380</t>
  </si>
  <si>
    <t>UCI_OR2:invoice=535948;cust=NA</t>
  </si>
  <si>
    <t>AP0369</t>
  </si>
  <si>
    <t>UCI_OR2:invoice=491192;cust=14527</t>
  </si>
  <si>
    <t>AP0365</t>
  </si>
  <si>
    <t>UCI_OR2:invoice=517385;cust=16937</t>
  </si>
  <si>
    <t>AP0372</t>
  </si>
  <si>
    <t>UCI_OR2:invoice=547885;cust=17314</t>
  </si>
  <si>
    <t>AP0362</t>
  </si>
  <si>
    <t>UCI_OR2:invoice=496973;cust=18267</t>
  </si>
  <si>
    <t>AP0375</t>
  </si>
  <si>
    <t>UCI_OR2:invoice=571656;cust=16393</t>
  </si>
  <si>
    <t>AP0381</t>
  </si>
  <si>
    <t>UCI_OR2:invoice=540420;cust=12829</t>
  </si>
  <si>
    <t>AP0386</t>
  </si>
  <si>
    <t>UCI_OR2:invoice=567200;cust=16460</t>
  </si>
  <si>
    <t>AP0385</t>
  </si>
  <si>
    <t>UCI_OR2:invoice=559171;cust=17651</t>
  </si>
  <si>
    <t>AP0371</t>
  </si>
  <si>
    <t>UCI_OR2:invoice=581407;cust=13263</t>
  </si>
  <si>
    <t>AP0388</t>
  </si>
  <si>
    <t>UCI_OR2:invoice=491321;cust=17032</t>
  </si>
  <si>
    <t>AP0389</t>
  </si>
  <si>
    <t>UCI_OR2:invoice=532677;cust=15615</t>
  </si>
  <si>
    <t>AP0376</t>
  </si>
  <si>
    <t>UCI_OR2:invoice=521383;cust=15751</t>
  </si>
  <si>
    <t>AP0357</t>
  </si>
  <si>
    <t>UCI_OR2:invoice=498561;cust=15988</t>
  </si>
  <si>
    <t>AP0391</t>
  </si>
  <si>
    <t>UCI_OR2:invoice=526189;cust=17555</t>
  </si>
  <si>
    <t>AP0382</t>
  </si>
  <si>
    <t>UCI_OR2:invoice=514310;cust=12765</t>
  </si>
  <si>
    <t>AP0370</t>
  </si>
  <si>
    <t>UCI_OR2:invoice=530610;cust=14156</t>
  </si>
  <si>
    <t>AP aging &amp; DPO</t>
  </si>
  <si>
    <t>DPO open balance</t>
  </si>
  <si>
    <t>trailing-12m spend</t>
  </si>
  <si>
    <t>DPO = open / trailing × 365</t>
  </si>
  <si>
    <t>API DPO = 27.3</t>
  </si>
  <si>
    <t>20.0–40.0 days (IN RANGE)</t>
  </si>
  <si>
    <t>Budget vs Actual — per retreat, per category</t>
  </si>
  <si>
    <t>Actual = summed AP bills in the category. Flag = actual &gt; budget × 1.10. Price source is the cited 2026 rate the budget line was built from (API per-line provenance, carried through).</t>
  </si>
  <si>
    <t>RET_2026_16  ·  Client G  ·  Sonoma, CA  ·  31 pax  ·  2026-01-18→2026-01-20</t>
  </si>
  <si>
    <t>budget</t>
  </si>
  <si>
    <t>actual</t>
  </si>
  <si>
    <t>variance $</t>
  </si>
  <si>
    <t>variance %</t>
  </si>
  <si>
    <t>flag</t>
  </si>
  <si>
    <t>price source (cited)</t>
  </si>
  <si>
    <t>Peerspace offsite venue $529/hr x 8h x 3d  —  Peerspace offsite / meeting venue listings, accessed 2026-09-10  —  https://www.peerspace.com/venues/chicago--il/offsite-meeting-location</t>
  </si>
  <si>
    <t>buffet $62/person x 31 x 6 meals x 1.26 fees/tax  —  Corporate catering 2026 price guides, accessed 2026-09-10  —  https://www.eatbreadless.com/blog/corporate-event-catering-2026-guide/</t>
  </si>
  <si>
    <t>GBTA 2026 domestic trip $820 x 31 attendees x 71% flying  —  GBTA Business Travel Index 2026 (via Engine / BTE), accessed 2026-09-10  —  https://engine.com/business-travel-guide/business-travel-data-trends</t>
  </si>
  <si>
    <t>half-day workshop $91/person x 31 + $2,000 vendor minimum  —  Corporate team-building 2026 cost guides, accessed 2026-09-10  —  https://itsplaytyme.com/blog/how-much-does-corporate-team-building-cost/</t>
  </si>
  <si>
    <t>10% of venue+catering+travel+activities (AV / contingency)  —  Corporate catering 2026 price guides, accessed 2026-09-10  —  https://www.eatbreadless.com/blog/corporate-event-catering-2026-guide/</t>
  </si>
  <si>
    <t>TOTAL</t>
  </si>
  <si>
    <t>RET_2025_10  ·  Client L  ·  Bend, OR  ·  32 pax  ·  2025-11-13→2025-11-15</t>
  </si>
  <si>
    <t>Peerspace offsite venue $451/hr x 8h x 3d  —  Peerspace offsite / meeting venue listings, accessed 2026-09-10  —  https://www.peerspace.com/venues/chicago--il/offsite-meeting-location</t>
  </si>
  <si>
    <t>buffet $33/person x 32 x 6 meals x 1.33 fees/tax  —  Corporate catering 2026 price guides, accessed 2026-09-10  —  https://www.eatbreadless.com/blog/corporate-event-catering-2026-guide/</t>
  </si>
  <si>
    <t>GBTA 2026 domestic trip $1156 x 32 attendees x 59% flying  —  GBTA Business Travel Index 2026 (via Engine / BTE), accessed 2026-09-10  —  https://engine.com/business-travel-guide/business-travel-data-trends</t>
  </si>
  <si>
    <t>half-day workshop $104/person x 32 + $2,000 vendor minimum  —  Corporate team-building 2026 cost guides, accessed 2026-09-10  —  https://itsplaytyme.com/blog/how-much-does-corporate-team-building-cost/</t>
  </si>
  <si>
    <t>RET_2026_21  ·  Client A  ·  Asheville, NC  ·  35 pax  ·  2026-03-08→2026-03-11</t>
  </si>
  <si>
    <t>Peerspace offsite venue $604/hr x 8h x 4d  —  Peerspace offsite / meeting venue listings, accessed 2026-09-10  —  https://www.peerspace.com/venues/chicago--il/offsite-meeting-location</t>
  </si>
  <si>
    <t>buffet $33/person x 35 x 8 meals x 1.27 fees/tax  —  Corporate catering 2026 price guides, accessed 2026-09-10  —  https://www.eatbreadless.com/blog/corporate-event-catering-2026-guide/</t>
  </si>
  <si>
    <t>GBTA 2026 domestic trip $1056 x 35 attendees x 75% flying  —  GBTA Business Travel Index 2026 (via Engine / BTE), accessed 2026-09-10  —  https://engine.com/business-travel-guide/business-travel-data-trends</t>
  </si>
  <si>
    <t>half-day workshop $94/person x 35 + $2,000 vendor minimum  —  Corporate team-building 2026 cost guides, accessed 2026-09-10  —  https://itsplaytyme.com/blog/how-much-does-corporate-team-building-cost/</t>
  </si>
  <si>
    <t>RET_2026_31  ·  Client F  ·  Santa Fe, NM  ·  58 pax  ·  2026-06-04→2026-06-06</t>
  </si>
  <si>
    <t>Peerspace offsite venue $363/hr x 8h x 3d  —  Peerspace offsite / meeting venue listings, accessed 2026-09-10  —  https://www.peerspace.com/venues/chicago--il/offsite-meeting-location</t>
  </si>
  <si>
    <t>buffet $40/person x 58 x 6 meals x 1.26 fees/tax  —  Corporate catering 2026 price guides, accessed 2026-09-10  —  https://www.eatbreadless.com/blog/corporate-event-catering-2026-guide/</t>
  </si>
  <si>
    <t>GBTA 2026 domestic trip $1164 x 58 attendees x 82% flying  —  GBTA Business Travel Index 2026 (via Engine / BTE), accessed 2026-09-10  —  https://engine.com/business-travel-guide/business-travel-data-trends</t>
  </si>
  <si>
    <t>half-day workshop $101/person x 58 + $2,000 vendor minimum  —  Corporate team-building 2026 cost guides, accessed 2026-09-10  —  https://itsplaytyme.com/blog/how-much-does-corporate-team-building-cost/</t>
  </si>
  <si>
    <t>RET_2025_12  ·  Client K  ·  Bend, OR  ·  51 pax  ·  2025-12-08→2025-12-11</t>
  </si>
  <si>
    <t>Peerspace offsite venue $415/hr x 8h x 4d  —  Peerspace offsite / meeting venue listings, accessed 2026-09-10  —  https://www.peerspace.com/venues/chicago--il/offsite-meeting-location</t>
  </si>
  <si>
    <t>buffet $66/person x 51 x 8 meals x 1.30 fees/tax  —  Corporate catering 2026 price guides, accessed 2026-09-10  —  https://www.eatbreadless.com/blog/corporate-event-catering-2026-guide/</t>
  </si>
  <si>
    <t>GBTA 2026 domestic trip $853 x 51 attendees x 57% flying  —  GBTA Business Travel Index 2026 (via Engine / BTE), accessed 2026-09-10  —  https://engine.com/business-travel-guide/business-travel-data-trends</t>
  </si>
  <si>
    <t>half-day workshop $86/person x 51 + $2,000 vendor minimum  —  Corporate team-building 2026 cost guides, accessed 2026-09-10  —  https://itsplaytyme.com/blog/how-much-does-corporate-team-building-cost/</t>
  </si>
  <si>
    <t>RET_2025_07  ·  Client L  ·  Park City, UT  ·  30 pax  ·  2025-10-17→2025-10-20</t>
  </si>
  <si>
    <t>Peerspace offsite venue $577/hr x 8h x 4d  —  Peerspace offsite / meeting venue listings, accessed 2026-09-10  —  https://www.peerspace.com/venues/chicago--il/offsite-meeting-location</t>
  </si>
  <si>
    <t>buffet $41/person x 30 x 8 meals x 1.30 fees/tax  —  Corporate catering 2026 price guides, accessed 2026-09-10  —  https://www.eatbreadless.com/blog/corporate-event-catering-2026-guide/</t>
  </si>
  <si>
    <t>GBTA 2026 domestic trip $813 x 30 attendees x 82% flying  —  GBTA Business Travel Index 2026 (via Engine / BTE), accessed 2026-09-10  —  https://engine.com/business-travel-guide/business-travel-data-trends</t>
  </si>
  <si>
    <t>half-day workshop $120/person x 30 + $2,000 vendor minimum  —  Corporate team-building 2026 cost guides, accessed 2026-09-10  —  https://itsplaytyme.com/blog/how-much-does-corporate-team-building-cost/</t>
  </si>
  <si>
    <t>RET_2025_05  ·  Client C  ·  Bend, OR  ·  50 pax  ·  2025-09-30→2025-10-02</t>
  </si>
  <si>
    <t>Peerspace offsite venue $550/hr x 8h x 3d  —  Peerspace offsite / meeting venue listings, accessed 2026-09-10  —  https://www.peerspace.com/venues/chicago--il/offsite-meeting-location</t>
  </si>
  <si>
    <t>buffet $47/person x 50 x 6 meals x 1.26 fees/tax  —  Corporate catering 2026 price guides, accessed 2026-09-10  —  https://www.eatbreadless.com/blog/corporate-event-catering-2026-guide/</t>
  </si>
  <si>
    <t>GBTA 2026 domestic trip $931 x 50 attendees x 85% flying  —  GBTA Business Travel Index 2026 (via Engine / BTE), accessed 2026-09-10  —  https://engine.com/business-travel-guide/business-travel-data-trends</t>
  </si>
  <si>
    <t>half-day workshop $106/person x 50 + $2,000 vendor minimum  —  Corporate team-building 2026 cost guides, accessed 2026-09-10  —  https://itsplaytyme.com/blog/how-much-does-corporate-team-building-cost/</t>
  </si>
  <si>
    <t>RET_2026_22  ·  Client J  ·  Austin, TX  ·  37 pax  ·  2026-03-10→2026-03-13</t>
  </si>
  <si>
    <t>Peerspace offsite venue $486/hr x 8h x 4d  —  Peerspace offsite / meeting venue listings, accessed 2026-09-10  —  https://www.peerspace.com/venues/chicago--il/offsite-meeting-location</t>
  </si>
  <si>
    <t>buffet $55/person x 37 x 8 meals x 1.29 fees/tax  —  Corporate catering 2026 price guides, accessed 2026-09-10  —  https://www.eatbreadless.com/blog/corporate-event-catering-2026-guide/</t>
  </si>
  <si>
    <t>GBTA 2026 domestic trip $1049 x 37 attendees x 71% flying  —  GBTA Business Travel Index 2026 (via Engine / BTE), accessed 2026-09-10  —  https://engine.com/business-travel-guide/business-travel-data-trends</t>
  </si>
  <si>
    <t>half-day workshop $122/person x 37 + $2,000 vendor minimum  —  Corporate team-building 2026 cost guides, accessed 2026-09-10  —  https://itsplaytyme.com/blog/how-much-does-corporate-team-building-cost/</t>
  </si>
  <si>
    <t>RET_2026_26  ·  Client K  ·  Asheville, NC  ·  30 pax  ·  2026-04-20→2026-04-23</t>
  </si>
  <si>
    <t>Peerspace offsite venue $558/hr x 8h x 4d  —  Peerspace offsite / meeting venue listings, accessed 2026-09-10  —  https://www.peerspace.com/venues/chicago--il/offsite-meeting-location</t>
  </si>
  <si>
    <t>buffet $42/person x 30 x 8 meals x 1.32 fees/tax  —  Corporate catering 2026 price guides, accessed 2026-09-10  —  https://www.eatbreadless.com/blog/corporate-event-catering-2026-guide/</t>
  </si>
  <si>
    <t>GBTA 2026 domestic trip $1257 x 30 attendees x 59% flying  —  GBTA Business Travel Index 2026 (via Engine / BTE), accessed 2026-09-10  —  https://engine.com/business-travel-guide/business-travel-data-trends</t>
  </si>
  <si>
    <t>half-day workshop $90/person x 30 + $2,000 vendor minimum  —  Corporate team-building 2026 cost guides, accessed 2026-09-10  —  https://itsplaytyme.com/blog/how-much-does-corporate-team-building-cost/</t>
  </si>
  <si>
    <t>RET_2025_04  ·  Client J  ·  Asheville, NC  ·  43 pax  ·  2025-09-19→2025-09-22</t>
  </si>
  <si>
    <t>Peerspace offsite venue $424/hr x 8h x 4d  —  Peerspace offsite / meeting venue listings, accessed 2026-09-10  —  https://www.peerspace.com/venues/chicago--il/offsite-meeting-location</t>
  </si>
  <si>
    <t>buffet $39/person x 43 x 8 meals x 1.35 fees/tax  —  Corporate catering 2026 price guides, accessed 2026-09-10  —  https://www.eatbreadless.com/blog/corporate-event-catering-2026-guide/</t>
  </si>
  <si>
    <t>GBTA 2026 domestic trip $1006 x 43 attendees x 58% flying  —  GBTA Business Travel Index 2026 (via Engine / BTE), accessed 2026-09-10  —  https://engine.com/business-travel-guide/business-travel-data-trends</t>
  </si>
  <si>
    <t>half-day workshop $87/person x 43 + $2,000 vendor minimum  —  Corporate team-building 2026 cost guides, accessed 2026-09-10  —  https://itsplaytyme.com/blog/how-much-does-corporate-team-building-cost/</t>
  </si>
  <si>
    <t>RET_2026_17  ·  Client D  ·  Bend, OR  ·  44 pax  ·  2026-01-17→2026-01-20</t>
  </si>
  <si>
    <t>buffet $33/person x 44 x 8 meals x 1.33 fees/tax  —  Corporate catering 2026 price guides, accessed 2026-09-10  —  https://www.eatbreadless.com/blog/corporate-event-catering-2026-guide/</t>
  </si>
  <si>
    <t>GBTA 2026 domestic trip $1209 x 44 attendees x 58% flying  —  GBTA Business Travel Index 2026 (via Engine / BTE), accessed 2026-09-10  —  https://engine.com/business-travel-guide/business-travel-data-trends</t>
  </si>
  <si>
    <t>half-day workshop $111/person x 44 + $2,000 vendor minimum  —  Corporate team-building 2026 cost guides, accessed 2026-09-10  —  https://itsplaytyme.com/blog/how-much-does-corporate-team-building-cost/</t>
  </si>
  <si>
    <t>RET_2026_23  ·  Client F  ·  Asheville, NC  ·  52 pax  ·  2026-03-17→2026-03-21</t>
  </si>
  <si>
    <t>Peerspace offsite venue $372/hr x 8h x 5d  —  Peerspace offsite / meeting venue listings, accessed 2026-09-10  —  https://www.peerspace.com/venues/chicago--il/offsite-meeting-location</t>
  </si>
  <si>
    <t>buffet $46/person x 52 x 10 meals x 1.32 fees/tax  —  Corporate catering 2026 price guides, accessed 2026-09-10  —  https://www.eatbreadless.com/blog/corporate-event-catering-2026-guide/</t>
  </si>
  <si>
    <t>GBTA 2026 domestic trip $883 x 52 attendees x 64% flying  —  GBTA Business Travel Index 2026 (via Engine / BTE), accessed 2026-09-10  —  https://engine.com/business-travel-guide/business-travel-data-trends</t>
  </si>
  <si>
    <t>half-day workshop $115/person x 52 + $2,000 vendor minimum  —  Corporate team-building 2026 cost guides, accessed 2026-09-10  —  https://itsplaytyme.com/blog/how-much-does-corporate-team-building-cost/</t>
  </si>
  <si>
    <t>RET_2025_06  ·  Client L  ·  Sonoma, CA  ·  51 pax  ·  2025-10-03→2025-10-05</t>
  </si>
  <si>
    <t>Peerspace offsite venue $332/hr x 8h x 3d  —  Peerspace offsite / meeting venue listings, accessed 2026-09-10  —  https://www.peerspace.com/venues/chicago--il/offsite-meeting-location</t>
  </si>
  <si>
    <t>buffet $65/person x 51 x 6 meals x 1.33 fees/tax  —  Corporate catering 2026 price guides, accessed 2026-09-10  —  https://www.eatbreadless.com/blog/corporate-event-catering-2026-guide/</t>
  </si>
  <si>
    <t>GBTA 2026 domestic trip $1158 x 51 attendees x 65% flying  —  GBTA Business Travel Index 2026 (via Engine / BTE), accessed 2026-09-10  —  https://engine.com/business-travel-guide/business-travel-data-trends</t>
  </si>
  <si>
    <t>half-day workshop $97/person x 51 + $2,000 vendor minimum  —  Corporate team-building 2026 cost guides, accessed 2026-09-10  —  https://itsplaytyme.com/blog/how-much-does-corporate-team-building-cost/</t>
  </si>
  <si>
    <t>RET_2025_01  ·  Client H  ·  Palm Springs, CA  ·  35 pax  ·  2025-08-26→2025-08-28</t>
  </si>
  <si>
    <t>Peerspace offsite venue $417/hr x 8h x 3d  —  Peerspace offsite / meeting venue listings, accessed 2026-09-10  —  https://www.peerspace.com/venues/chicago--il/offsite-meeting-location</t>
  </si>
  <si>
    <t>buffet $70/person x 35 x 6 meals x 1.31 fees/tax  —  Corporate catering 2026 price guides, accessed 2026-09-10  —  https://www.eatbreadless.com/blog/corporate-event-catering-2026-guide/</t>
  </si>
  <si>
    <t>GBTA 2026 domestic trip $1034 x 35 attendees x 76% flying  —  GBTA Business Travel Index 2026 (via Engine / BTE), accessed 2026-09-10  —  https://engine.com/business-travel-guide/business-travel-data-trends</t>
  </si>
  <si>
    <t>half-day workshop $119/person x 35 + $2,000 vendor minimum  —  Corporate team-building 2026 cost guides, accessed 2026-09-10  —  https://itsplaytyme.com/blog/how-much-does-corporate-team-building-cost/</t>
  </si>
  <si>
    <t>RET_2026_18  ·  Client D  ·  San Diego, CA  ·  32 pax  ·  2026-01-26→2026-01-28</t>
  </si>
  <si>
    <t>Peerspace offsite venue $349/hr x 8h x 3d  —  Peerspace offsite / meeting venue listings, accessed 2026-09-10  —  https://www.peerspace.com/venues/chicago--il/offsite-meeting-location</t>
  </si>
  <si>
    <t>buffet $49/person x 32 x 6 meals x 1.27 fees/tax  —  Corporate catering 2026 price guides, accessed 2026-09-10  —  https://www.eatbreadless.com/blog/corporate-event-catering-2026-guide/</t>
  </si>
  <si>
    <t>GBTA 2026 domestic trip $943 x 32 attendees x 57% flying  —  GBTA Business Travel Index 2026 (via Engine / BTE), accessed 2026-09-10  —  https://engine.com/business-travel-guide/business-travel-data-trends</t>
  </si>
  <si>
    <t>half-day workshop $100/person x 32 + $2,000 vendor minimum  —  Corporate team-building 2026 cost guides, accessed 2026-09-10  —  https://itsplaytyme.com/blog/how-much-does-corporate-team-building-cost/</t>
  </si>
  <si>
    <t>RET_2025_11  ·  Client I  ·  Park City, UT  ·  38 pax  ·  2025-11-29→2025-12-01</t>
  </si>
  <si>
    <t>Peerspace offsite venue $576/hr x 8h x 3d  —  Peerspace offsite / meeting venue listings, accessed 2026-09-10  —  https://www.peerspace.com/venues/chicago--il/offsite-meeting-location</t>
  </si>
  <si>
    <t>buffet $47/person x 38 x 6 meals x 1.27 fees/tax  —  Corporate catering 2026 price guides, accessed 2026-09-10  —  https://www.eatbreadless.com/blog/corporate-event-catering-2026-guide/</t>
  </si>
  <si>
    <t>GBTA 2026 domestic trip $1023 x 38 attendees x 77% flying  —  GBTA Business Travel Index 2026 (via Engine / BTE), accessed 2026-09-10  —  https://engine.com/business-travel-guide/business-travel-data-trends</t>
  </si>
  <si>
    <t>half-day workshop $93/person x 38 + $2,000 vendor minimum  —  Corporate team-building 2026 cost guides, accessed 2026-09-10  —  https://itsplaytyme.com/blog/how-much-does-corporate-team-building-cost/</t>
  </si>
  <si>
    <t>RET_2026_24  ·  Client J  ·  Nashville, TN  ·  44 pax  ·  2026-03-29→2026-03-31</t>
  </si>
  <si>
    <t>Peerspace offsite venue $617/hr x 8h x 3d  —  Peerspace offsite / meeting venue listings, accessed 2026-09-10  —  https://www.peerspace.com/venues/chicago--il/offsite-meeting-location</t>
  </si>
  <si>
    <t>buffet $70/person x 44 x 6 meals x 1.26 fees/tax  —  Corporate catering 2026 price guides, accessed 2026-09-10  —  https://www.eatbreadless.com/blog/corporate-event-catering-2026-guide/</t>
  </si>
  <si>
    <t>GBTA 2026 domestic trip $833 x 44 attendees x 63% flying  —  GBTA Business Travel Index 2026 (via Engine / BTE), accessed 2026-09-10  —  https://engine.com/business-travel-guide/business-travel-data-trends</t>
  </si>
  <si>
    <t>half-day workshop $122/person x 44 + $2,000 vendor minimum  —  Corporate team-building 2026 cost guides, accessed 2026-09-10  —  https://itsplaytyme.com/blog/how-much-does-corporate-team-building-cost/</t>
  </si>
  <si>
    <t>RET_2026_34  ·  Client D  ·  Austin, TX  ·  37 pax  ·  2026-07-04→2026-07-07</t>
  </si>
  <si>
    <t>buffet $48/person x 37 x 8 meals x 1.28 fees/tax  —  Corporate catering 2026 price guides, accessed 2026-09-10  —  https://www.eatbreadless.com/blog/corporate-event-catering-2026-guide/</t>
  </si>
  <si>
    <t>GBTA 2026 domestic trip $1173 x 37 attendees x 62% flying  —  GBTA Business Travel Index 2026 (via Engine / BTE), accessed 2026-09-10  —  https://engine.com/business-travel-guide/business-travel-data-trends</t>
  </si>
  <si>
    <t>half-day workshop $86/person x 37 + $2,000 vendor minimum  —  Corporate team-building 2026 cost guides, accessed 2026-09-10  —  https://itsplaytyme.com/blog/how-much-does-corporate-team-building-cost/</t>
  </si>
  <si>
    <t>RET_2025_02  ·  Client A  ·  Austin, TX  ·  37 pax  ·  2025-08-24→2025-08-26</t>
  </si>
  <si>
    <t>Peerspace offsite venue $554/hr x 8h x 3d  —  Peerspace offsite / meeting venue listings, accessed 2026-09-10  —  https://www.peerspace.com/venues/chicago--il/offsite-meeting-location</t>
  </si>
  <si>
    <t>buffet $46/person x 37 x 6 meals x 1.26 fees/tax  —  Corporate catering 2026 price guides, accessed 2026-09-10  —  https://www.eatbreadless.com/blog/corporate-event-catering-2026-guide/</t>
  </si>
  <si>
    <t>GBTA 2026 domestic trip $1242 x 37 attendees x 72% flying  —  GBTA Business Travel Index 2026 (via Engine / BTE), accessed 2026-09-10  —  https://engine.com/business-travel-guide/business-travel-data-trends</t>
  </si>
  <si>
    <t>half-day workshop $114/person x 37 + $2,000 vendor minimum  —  Corporate team-building 2026 cost guides, accessed 2026-09-10  —  https://itsplaytyme.com/blog/how-much-does-corporate-team-building-cost/</t>
  </si>
  <si>
    <t>RET_2026_33  ·  Client K  ·  Portland, ME  ·  55 pax  ·  2026-06-26→2026-06-29</t>
  </si>
  <si>
    <t>Peerspace offsite venue $573/hr x 8h x 4d  —  Peerspace offsite / meeting venue listings, accessed 2026-09-10  —  https://www.peerspace.com/venues/chicago--il/offsite-meeting-location</t>
  </si>
  <si>
    <t>buffet $62/person x 55 x 8 meals x 1.28 fees/tax  —  Corporate catering 2026 price guides, accessed 2026-09-10  —  https://www.eatbreadless.com/blog/corporate-event-catering-2026-guide/</t>
  </si>
  <si>
    <t>GBTA 2026 domestic trip $1169 x 55 attendees x 58% flying  —  GBTA Business Travel Index 2026 (via Engine / BTE), accessed 2026-09-10  —  https://engine.com/business-travel-guide/business-travel-data-trends</t>
  </si>
  <si>
    <t>half-day workshop $120/person x 55 + $2,000 vendor minimum  —  Corporate team-building 2026 cost guides, accessed 2026-09-10  —  https://itsplaytyme.com/blog/how-much-does-corporate-team-building-cost/</t>
  </si>
  <si>
    <t>RET_2026_36  ·  Client A  ·  San Diego, CA  ·  60 pax  ·  2026-07-24→2026-07-27</t>
  </si>
  <si>
    <t>Peerspace offsite venue $332/hr x 8h x 4d  —  Peerspace offsite / meeting venue listings, accessed 2026-09-10  —  https://www.peerspace.com/venues/chicago--il/offsite-meeting-location</t>
  </si>
  <si>
    <t>buffet $69/person x 60 x 8 meals x 1.27 fees/tax  —  Corporate catering 2026 price guides, accessed 2026-09-10  —  https://www.eatbreadless.com/blog/corporate-event-catering-2026-guide/</t>
  </si>
  <si>
    <t>GBTA 2026 domestic trip $1271 x 60 attendees x 63% flying  —  GBTA Business Travel Index 2026 (via Engine / BTE), accessed 2026-09-10  —  https://engine.com/business-travel-guide/business-travel-data-trends</t>
  </si>
  <si>
    <t>half-day workshop $89/person x 60 + $2,000 vendor minimum  —  Corporate team-building 2026 cost guides, accessed 2026-09-10  —  https://itsplaytyme.com/blog/how-much-does-corporate-team-building-cost/</t>
  </si>
  <si>
    <t>RET_2026_19  ·  Client H  ·  Austin, TX  ·  59 pax  ·  2026-02-15→2026-02-18</t>
  </si>
  <si>
    <t>Peerspace offsite venue $387/hr x 8h x 4d  —  Peerspace offsite / meeting venue listings, accessed 2026-09-10  —  https://www.peerspace.com/venues/chicago--il/offsite-meeting-location</t>
  </si>
  <si>
    <t>buffet $58/person x 59 x 8 meals x 1.32 fees/tax  —  Corporate catering 2026 price guides, accessed 2026-09-10  —  https://www.eatbreadless.com/blog/corporate-event-catering-2026-guide/</t>
  </si>
  <si>
    <t>GBTA 2026 domestic trip $1166 x 59 attendees x 75% flying  —  GBTA Business Travel Index 2026 (via Engine / BTE), accessed 2026-09-10  —  https://engine.com/business-travel-guide/business-travel-data-trends</t>
  </si>
  <si>
    <t>half-day workshop $104/person x 59 + $2,000 vendor minimum  —  Corporate team-building 2026 cost guides, accessed 2026-09-10  —  https://itsplaytyme.com/blog/how-much-does-corporate-team-building-cost/</t>
  </si>
  <si>
    <t>RET_2026_39  ·  Client F  ·  Jackson Hole, WY  ·  49 pax  ·  2026-08-28→2026-08-31</t>
  </si>
  <si>
    <t>Peerspace offsite venue $509/hr x 8h x 4d  —  Peerspace offsite / meeting venue listings, accessed 2026-09-10  —  https://www.peerspace.com/venues/chicago--il/offsite-meeting-location</t>
  </si>
  <si>
    <t>buffet $35/person x 49 x 8 meals x 1.34 fees/tax  —  Corporate catering 2026 price guides, accessed 2026-09-10  —  https://www.eatbreadless.com/blog/corporate-event-catering-2026-guide/</t>
  </si>
  <si>
    <t>GBTA 2026 domestic trip $1005 x 49 attendees x 75% flying  —  GBTA Business Travel Index 2026 (via Engine / BTE), accessed 2026-09-10  —  https://engine.com/business-travel-guide/business-travel-data-trends</t>
  </si>
  <si>
    <t>half-day workshop $98/person x 49 + $2,000 vendor minimum  —  Corporate team-building 2026 cost guides, accessed 2026-09-10  —  https://itsplaytyme.com/blog/how-much-does-corporate-team-building-cost/</t>
  </si>
  <si>
    <t>RET_2025_14  ·  Client K  ·  Savannah, GA  ·  38 pax  ·  2025-12-27→2025-12-29</t>
  </si>
  <si>
    <t>buffet $52/person x 38 x 6 meals x 1.32 fees/tax  —  Corporate catering 2026 price guides, accessed 2026-09-10  —  https://www.eatbreadless.com/blog/corporate-event-catering-2026-guide/</t>
  </si>
  <si>
    <t>GBTA 2026 domestic trip $1224 x 38 attendees x 72% flying  —  GBTA Business Travel Index 2026 (via Engine / BTE), accessed 2026-09-10  —  https://engine.com/business-travel-guide/business-travel-data-trends</t>
  </si>
  <si>
    <t>half-day workshop $95/person x 38 + $2,000 vendor minimum  —  Corporate team-building 2026 cost guides, accessed 2026-09-10  —  https://itsplaytyme.com/blog/how-much-does-corporate-team-building-cost/</t>
  </si>
  <si>
    <t>RET_2026_32  ·  Client D  ·  Hudson Valley, NY  ·  34 pax  ·  2026-06-16→2026-06-20</t>
  </si>
  <si>
    <t>Peerspace offsite venue $573/hr x 8h x 5d  —  Peerspace offsite / meeting venue listings, accessed 2026-09-10  —  https://www.peerspace.com/venues/chicago--il/offsite-meeting-location</t>
  </si>
  <si>
    <t>buffet $69/person x 34 x 10 meals x 1.33 fees/tax  —  Corporate catering 2026 price guides, accessed 2026-09-10  —  https://www.eatbreadless.com/blog/corporate-event-catering-2026-guide/</t>
  </si>
  <si>
    <t>GBTA 2026 domestic trip $1224 x 34 attendees x 56% flying  —  GBTA Business Travel Index 2026 (via Engine / BTE), accessed 2026-09-10  —  https://engine.com/business-travel-guide/business-travel-data-trends</t>
  </si>
  <si>
    <t>half-day workshop $114/person x 34 + $2,000 vendor minimum  —  Corporate team-building 2026 cost guides, accessed 2026-09-10  —  https://itsplaytyme.com/blog/how-much-does-corporate-team-building-cost/</t>
  </si>
  <si>
    <t>RET_2026_29  ·  Client H  ·  Bend, OR  ·  53 pax  ·  2026-05-23→2026-05-25</t>
  </si>
  <si>
    <t>Peerspace offsite venue $473/hr x 8h x 3d  —  Peerspace offsite / meeting venue listings, accessed 2026-09-10  —  https://www.peerspace.com/venues/chicago--il/offsite-meeting-location</t>
  </si>
  <si>
    <t>buffet $47/person x 53 x 6 meals x 1.25 fees/tax  —  Corporate catering 2026 price guides, accessed 2026-09-10  —  https://www.eatbreadless.com/blog/corporate-event-catering-2026-guide/</t>
  </si>
  <si>
    <t>GBTA 2026 domestic trip $752 x 53 attendees x 81% flying  —  GBTA Business Travel Index 2026 (via Engine / BTE), accessed 2026-09-10  —  https://engine.com/business-travel-guide/business-travel-data-trends</t>
  </si>
  <si>
    <t>half-day workshop $121/person x 53 + $2,000 vendor minimum  —  Corporate team-building 2026 cost guides, accessed 2026-09-10  —  https://itsplaytyme.com/blog/how-much-does-corporate-team-building-cost/</t>
  </si>
  <si>
    <t>RET_2026_38  ·  Client I  ·  Nashville, TN  ·  46 pax  ·  2026-08-19→2026-08-21</t>
  </si>
  <si>
    <t>Peerspace offsite venue $516/hr x 8h x 3d  —  Peerspace offsite / meeting venue listings, accessed 2026-09-10  —  https://www.peerspace.com/venues/chicago--il/offsite-meeting-location</t>
  </si>
  <si>
    <t>buffet $68/person x 46 x 6 meals x 1.32 fees/tax  —  Corporate catering 2026 price guides, accessed 2026-09-10  —  https://www.eatbreadless.com/blog/corporate-event-catering-2026-guide/</t>
  </si>
  <si>
    <t>GBTA 2026 domestic trip $823 x 46 attendees x 68% flying  —  GBTA Business Travel Index 2026 (via Engine / BTE), accessed 2026-09-10  —  https://engine.com/business-travel-guide/business-travel-data-trends</t>
  </si>
  <si>
    <t>half-day workshop $123/person x 46 + $2,000 vendor minimum  —  Corporate team-building 2026 cost guides, accessed 2026-09-10  —  https://itsplaytyme.com/blog/how-much-does-corporate-team-building-cost/</t>
  </si>
  <si>
    <t>RET_2025_03  ·  Client G  ·  Jackson Hole, WY  ·  45 pax  ·  2025-09-13→2025-09-17</t>
  </si>
  <si>
    <t>Peerspace offsite venue $580/hr x 8h x 5d  —  Peerspace offsite / meeting venue listings, accessed 2026-09-10  —  https://www.peerspace.com/venues/chicago--il/offsite-meeting-location</t>
  </si>
  <si>
    <t>buffet $56/person x 45 x 10 meals x 1.26 fees/tax  —  Corporate catering 2026 price guides, accessed 2026-09-10  —  https://www.eatbreadless.com/blog/corporate-event-catering-2026-guide/</t>
  </si>
  <si>
    <t>GBTA 2026 domestic trip $790 x 45 attendees x 77% flying  —  GBTA Business Travel Index 2026 (via Engine / BTE), accessed 2026-09-10  —  https://engine.com/business-travel-guide/business-travel-data-trends</t>
  </si>
  <si>
    <t>half-day workshop $107/person x 45 + $2,000 vendor minimum  —  Corporate team-building 2026 cost guides, accessed 2026-09-10  —  https://itsplaytyme.com/blog/how-much-does-corporate-team-building-cost/</t>
  </si>
  <si>
    <t>RET_2025_15  ·  Client B  ·  Charleston, SC  ·  36 pax  ·  2025-12-31→2026-01-03</t>
  </si>
  <si>
    <t>Peerspace offsite venue $326/hr x 8h x 4d  —  Peerspace offsite / meeting venue listings, accessed 2026-09-10  —  https://www.peerspace.com/venues/chicago--il/offsite-meeting-location</t>
  </si>
  <si>
    <t>buffet $47/person x 36 x 8 meals x 1.29 fees/tax  —  Corporate catering 2026 price guides, accessed 2026-09-10  —  https://www.eatbreadless.com/blog/corporate-event-catering-2026-guide/</t>
  </si>
  <si>
    <t>GBTA 2026 domestic trip $981 x 36 attendees x 77% flying  —  GBTA Business Travel Index 2026 (via Engine / BTE), accessed 2026-09-10  —  https://engine.com/business-travel-guide/business-travel-data-trends</t>
  </si>
  <si>
    <t>half-day workshop $112/person x 36 + $2,000 vendor minimum  —  Corporate team-building 2026 cost guides, accessed 2026-09-10  —  https://itsplaytyme.com/blog/how-much-does-corporate-team-building-cost/</t>
  </si>
  <si>
    <t>RET_2026_25  ·  Client D  ·  Charleston, SC  ·  58 pax  ·  2026-04-05→2026-04-07</t>
  </si>
  <si>
    <t>Peerspace offsite venue $414/hr x 8h x 3d  —  Peerspace offsite / meeting venue listings, accessed 2026-09-10  —  https://www.peerspace.com/venues/chicago--il/offsite-meeting-location</t>
  </si>
  <si>
    <t>buffet $36/person x 58 x 6 meals x 1.33 fees/tax  —  Corporate catering 2026 price guides, accessed 2026-09-10  —  https://www.eatbreadless.com/blog/corporate-event-catering-2026-guide/</t>
  </si>
  <si>
    <t>GBTA 2026 domestic trip $1120 x 58 attendees x 73% flying  —  GBTA Business Travel Index 2026 (via Engine / BTE), accessed 2026-09-10  —  https://engine.com/business-travel-guide/business-travel-data-trends</t>
  </si>
  <si>
    <t>half-day workshop $124/person x 58 + $2,000 vendor minimum  —  Corporate team-building 2026 cost guides, accessed 2026-09-10  —  https://itsplaytyme.com/blog/how-much-does-corporate-team-building-cost/</t>
  </si>
  <si>
    <t>RET_2026_27  ·  Client C  ·  Savannah, GA  ·  47 pax  ·  2026-04-28→2026-05-02</t>
  </si>
  <si>
    <t>Peerspace offsite venue $383/hr x 8h x 5d  —  Peerspace offsite / meeting venue listings, accessed 2026-09-10  —  https://www.peerspace.com/venues/chicago--il/offsite-meeting-location</t>
  </si>
  <si>
    <t>buffet $54/person x 47 x 10 meals x 1.32 fees/tax  —  Corporate catering 2026 price guides, accessed 2026-09-10  —  https://www.eatbreadless.com/blog/corporate-event-catering-2026-guide/</t>
  </si>
  <si>
    <t>GBTA 2026 domestic trip $827 x 47 attendees x 74% flying  —  GBTA Business Travel Index 2026 (via Engine / BTE), accessed 2026-09-10  —  https://engine.com/business-travel-guide/business-travel-data-trends</t>
  </si>
  <si>
    <t>half-day workshop $96/person x 47 + $2,000 vendor minimum  —  Corporate team-building 2026 cost guides, accessed 2026-09-10  —  https://itsplaytyme.com/blog/how-much-does-corporate-team-building-cost/</t>
  </si>
  <si>
    <t>RET_2025_13  ·  Client D  ·  Bend, OR  ·  48 pax  ·  2025-12-14→2025-12-16</t>
  </si>
  <si>
    <t>Peerspace offsite venue $297/hr x 8h x 3d  —  Peerspace offsite / meeting venue listings, accessed 2026-09-10  —  https://www.peerspace.com/venues/chicago--il/offsite-meeting-location</t>
  </si>
  <si>
    <t>buffet $58/person x 48 x 6 meals x 1.26 fees/tax  —  Corporate catering 2026 price guides, accessed 2026-09-10  —  https://www.eatbreadless.com/blog/corporate-event-catering-2026-guide/</t>
  </si>
  <si>
    <t>GBTA 2026 domestic trip $747 x 48 attendees x 56% flying  —  GBTA Business Travel Index 2026 (via Engine / BTE), accessed 2026-09-10  —  https://engine.com/business-travel-guide/business-travel-data-trends</t>
  </si>
  <si>
    <t>half-day workshop $98/person x 48 + $2,000 vendor minimum  —  Corporate team-building 2026 cost guides, accessed 2026-09-10  —  https://itsplaytyme.com/blog/how-much-does-corporate-team-building-cost/</t>
  </si>
  <si>
    <t>RET_2026_20  ·  Client A  ·  Portland, ME  ·  36 pax  ·  2026-02-18→2026-02-21</t>
  </si>
  <si>
    <t>Peerspace offsite venue $481/hr x 8h x 4d  —  Peerspace offsite / meeting venue listings, accessed 2026-09-10  —  https://www.peerspace.com/venues/chicago--il/offsite-meeting-location</t>
  </si>
  <si>
    <t>buffet $52/person x 36 x 8 meals x 1.32 fees/tax  —  Corporate catering 2026 price guides, accessed 2026-09-10  —  https://www.eatbreadless.com/blog/corporate-event-catering-2026-guide/</t>
  </si>
  <si>
    <t>GBTA 2026 domestic trip $741 x 36 attendees x 73% flying  —  GBTA Business Travel Index 2026 (via Engine / BTE), accessed 2026-09-10  —  https://engine.com/business-travel-guide/business-travel-data-trends</t>
  </si>
  <si>
    <t>half-day workshop $105/person x 36 + $2,000 vendor minimum  —  Corporate team-building 2026 cost guides, accessed 2026-09-10  —  https://itsplaytyme.com/blog/how-much-does-corporate-team-building-cost/</t>
  </si>
  <si>
    <t>RET_2026_30  ·  Client F  ·  Portland, ME  ·  56 pax  ·  2026-05-28→2026-05-30</t>
  </si>
  <si>
    <t>Peerspace offsite venue $483/hr x 8h x 3d  —  Peerspace offsite / meeting venue listings, accessed 2026-09-10  —  https://www.peerspace.com/venues/chicago--il/offsite-meeting-location</t>
  </si>
  <si>
    <t>buffet $36/person x 56 x 6 meals x 1.26 fees/tax  —  Corporate catering 2026 price guides, accessed 2026-09-10  —  https://www.eatbreadless.com/blog/corporate-event-catering-2026-guide/</t>
  </si>
  <si>
    <t>GBTA 2026 domestic trip $888 x 56 attendees x 82% flying  —  GBTA Business Travel Index 2026 (via Engine / BTE), accessed 2026-09-10  —  https://engine.com/business-travel-guide/business-travel-data-trends</t>
  </si>
  <si>
    <t>half-day workshop $117/person x 56 + $2,000 vendor minimum  —  Corporate team-building 2026 cost guides, accessed 2026-09-10  —  https://itsplaytyme.com/blog/how-much-does-corporate-team-building-cost/</t>
  </si>
  <si>
    <t>RET_2025_09  ·  Client A  ·  Santa Fe, NM  ·  45 pax  ·  2025-11-08→2025-11-11</t>
  </si>
  <si>
    <t>Peerspace offsite venue $331/hr x 8h x 4d  —  Peerspace offsite / meeting venue listings, accessed 2026-09-10  —  https://www.peerspace.com/venues/chicago--il/offsite-meeting-location</t>
  </si>
  <si>
    <t>buffet $45/person x 45 x 8 meals x 1.35 fees/tax  —  Corporate catering 2026 price guides, accessed 2026-09-10  —  https://www.eatbreadless.com/blog/corporate-event-catering-2026-guide/</t>
  </si>
  <si>
    <t>GBTA 2026 domestic trip $1180 x 45 attendees x 62% flying  —  GBTA Business Travel Index 2026 (via Engine / BTE), accessed 2026-09-10  —  https://engine.com/business-travel-guide/business-travel-data-trends</t>
  </si>
  <si>
    <t>half-day workshop $95/person x 45 + $2,000 vendor minimum  —  Corporate team-building 2026 cost guides, accessed 2026-09-10  —  https://itsplaytyme.com/blog/how-much-does-corporate-team-building-cost/</t>
  </si>
  <si>
    <t>RET_2026_40  ·  Client C  ·  San Diego, CA  ·  47 pax  ·  2026-08-29→2026-09-01</t>
  </si>
  <si>
    <t>Peerspace offsite venue $357/hr x 8h x 4d  —  Peerspace offsite / meeting venue listings, accessed 2026-09-10  —  https://www.peerspace.com/venues/chicago--il/offsite-meeting-location</t>
  </si>
  <si>
    <t>buffet $57/person x 47 x 8 meals x 1.29 fees/tax  —  Corporate catering 2026 price guides, accessed 2026-09-10  —  https://www.eatbreadless.com/blog/corporate-event-catering-2026-guide/</t>
  </si>
  <si>
    <t>GBTA 2026 domestic trip $1146 x 47 attendees x 60% flying  —  GBTA Business Travel Index 2026 (via Engine / BTE), accessed 2026-09-10  —  https://engine.com/business-travel-guide/business-travel-data-trends</t>
  </si>
  <si>
    <t>half-day workshop $108/person x 47 + $2,000 vendor minimum  —  Corporate team-building 2026 cost guides, accessed 2026-09-10  —  https://itsplaytyme.com/blog/how-much-does-corporate-team-building-cost/</t>
  </si>
  <si>
    <t>RET_2026_37  ·  Client F  ·  San Diego, CA  ·  53 pax  ·  2026-08-10→2026-08-13</t>
  </si>
  <si>
    <t>Peerspace offsite venue $436/hr x 8h x 4d  —  Peerspace offsite / meeting venue listings, accessed 2026-09-10  —  https://www.peerspace.com/venues/chicago--il/offsite-meeting-location</t>
  </si>
  <si>
    <t>buffet $69/person x 53 x 8 meals x 1.26 fees/tax  —  Corporate catering 2026 price guides, accessed 2026-09-10  —  https://www.eatbreadless.com/blog/corporate-event-catering-2026-guide/</t>
  </si>
  <si>
    <t>GBTA 2026 domestic trip $1234 x 53 attendees x 61% flying  —  GBTA Business Travel Index 2026 (via Engine / BTE), accessed 2026-09-10  —  https://engine.com/business-travel-guide/business-travel-data-trends</t>
  </si>
  <si>
    <t>half-day workshop $87/person x 53 + $2,000 vendor minimum  —  Corporate team-building 2026 cost guides, accessed 2026-09-10  —  https://itsplaytyme.com/blog/how-much-does-corporate-team-building-cost/</t>
  </si>
  <si>
    <t>RET_2026_35  ·  Client E  ·  Bend, OR  ·  40 pax  ·  2026-07-20→2026-07-23</t>
  </si>
  <si>
    <t>buffet $69/person x 40 x 8 meals x 1.28 fees/tax  —  Corporate catering 2026 price guides, accessed 2026-09-10  —  https://www.eatbreadless.com/blog/corporate-event-catering-2026-guide/</t>
  </si>
  <si>
    <t>GBTA 2026 domestic trip $1083 x 40 attendees x 67% flying  —  GBTA Business Travel Index 2026 (via Engine / BTE), accessed 2026-09-10  —  https://engine.com/business-travel-guide/business-travel-data-trends</t>
  </si>
  <si>
    <t>half-day workshop $124/person x 40 + $2,000 vendor minimum  —  Corporate team-building 2026 cost guides, accessed 2026-09-10  —  https://itsplaytyme.com/blog/how-much-does-corporate-team-building-cost/</t>
  </si>
  <si>
    <t>RET_2025_08  ·  Client J  ·  Santa Fe, NM  ·  46 pax  ·  2025-10-22→2025-10-26</t>
  </si>
  <si>
    <t>Peerspace offsite venue $359/hr x 8h x 5d  —  Peerspace offsite / meeting venue listings, accessed 2026-09-10  —  https://www.peerspace.com/venues/chicago--il/offsite-meeting-location</t>
  </si>
  <si>
    <t>buffet $45/person x 46 x 10 meals x 1.27 fees/tax  —  Corporate catering 2026 price guides, accessed 2026-09-10  —  https://www.eatbreadless.com/blog/corporate-event-catering-2026-guide/</t>
  </si>
  <si>
    <t>GBTA 2026 domestic trip $1266 x 46 attendees x 83% flying  —  GBTA Business Travel Index 2026 (via Engine / BTE), accessed 2026-09-10  —  https://engine.com/business-travel-guide/business-travel-data-trends</t>
  </si>
  <si>
    <t>half-day workshop $122/person x 46 + $2,000 vendor minimum  —  Corporate team-building 2026 cost guides, accessed 2026-09-10  —  https://itsplaytyme.com/blog/how-much-does-corporate-team-building-cost/</t>
  </si>
  <si>
    <t>RET_2026_28  ·  Client A  ·  Park City, UT  ·  58 pax  ·  2026-05-10→2026-05-13</t>
  </si>
  <si>
    <t>Peerspace offsite venue $325/hr x 8h x 4d  —  Peerspace offsite / meeting venue listings, accessed 2026-09-10  —  https://www.peerspace.com/venues/chicago--il/offsite-meeting-location</t>
  </si>
  <si>
    <t>buffet $47/person x 58 x 8 meals x 1.28 fees/tax  —  Corporate catering 2026 price guides, accessed 2026-09-10  —  https://www.eatbreadless.com/blog/corporate-event-catering-2026-guide/</t>
  </si>
  <si>
    <t>GBTA 2026 domestic trip $710 x 58 attendees x 78% flying  —  GBTA Business Travel Index 2026 (via Engine / BTE), accessed 2026-09-10  —  https://engine.com/business-travel-guide/business-travel-data-trends</t>
  </si>
  <si>
    <t>half-day workshop $110/person x 58 + $2,000 vendor minimum  —  Corporate team-building 2026 cost guides, accessed 2026-09-10  —  https://itsplaytyme.com/blog/how-much-does-corporate-team-building-cost/</t>
  </si>
  <si>
    <t>RET_2026_41  ·  Client A  ·  Charleston, SC  ·  56 pax  ·  2026-09-29→2026-10-02</t>
  </si>
  <si>
    <t>Peerspace offsite venue $393/hr x 8h x 4d  —  Peerspace offsite / meeting venue listings, accessed 2026-09-10  —  https://www.peerspace.com/venues/chicago--il/offsite-meeting-location</t>
  </si>
  <si>
    <t>buffet $38/person x 56 x 8 meals x 1.33 fees/tax  —  Corporate catering 2026 price guides, accessed 2026-09-10  —  https://www.eatbreadless.com/blog/corporate-event-catering-2026-guide/</t>
  </si>
  <si>
    <t>GBTA 2026 domestic trip $1063 x 56 attendees x 65% flying  —  GBTA Business Travel Index 2026 (via Engine / BTE), accessed 2026-09-10  —  https://engine.com/business-travel-guide/business-travel-data-trends</t>
  </si>
  <si>
    <t>half-day workshop $103/person x 56 + $2,000 vendor minimum  —  Corporate team-building 2026 cost guides, accessed 2026-09-10  —  https://itsplaytyme.com/blog/how-much-does-corporate-team-building-cost/</t>
  </si>
  <si>
    <t>RET_2026_42  ·  Client H  ·  Santa Fe, NM  ·  46 pax  ·  2026-10-21→2026-10-23</t>
  </si>
  <si>
    <t>Peerspace offsite venue $551/hr x 8h x 3d  —  Peerspace offsite / meeting venue listings, accessed 2026-09-10  —  https://www.peerspace.com/venues/chicago--il/offsite-meeting-location</t>
  </si>
  <si>
    <t>GBTA 2026 domestic trip $1093 x 46 attendees x 64% flying  —  GBTA Business Travel Index 2026 (via Engine / BTE), accessed 2026-09-10  —  https://engine.com/business-travel-guide/business-travel-data-trends</t>
  </si>
  <si>
    <t>half-day workshop $112/person x 46 + $2,000 vendor minimum  —  Corporate team-building 2026 cost guides, accessed 2026-09-10  —  https://itsplaytyme.com/blog/how-much-does-corporate-team-building-cost/</t>
  </si>
  <si>
    <t>RET_2026_43  ·  Client D  ·  Portland, ME  ·  32 pax  ·  2026-11-03→2026-11-06</t>
  </si>
  <si>
    <t>Peerspace offsite venue $512/hr x 8h x 4d  —  Peerspace offsite / meeting venue listings, accessed 2026-09-10  —  https://www.peerspace.com/venues/chicago--il/offsite-meeting-location</t>
  </si>
  <si>
    <t>buffet $39/person x 32 x 8 meals x 1.27 fees/tax  —  Corporate catering 2026 price guides, accessed 2026-09-10  —  https://www.eatbreadless.com/blog/corporate-event-catering-2026-guide/</t>
  </si>
  <si>
    <t>GBTA 2026 domestic trip $722 x 32 attendees x 62% flying  —  GBTA Business Travel Index 2026 (via Engine / BTE), accessed 2026-09-10  —  https://engine.com/business-travel-guide/business-travel-data-trends</t>
  </si>
  <si>
    <t>RET_2026_44  ·  Client G  ·  Jackson Hole, WY  ·  44 pax  ·  2026-11-29→2026-12-01</t>
  </si>
  <si>
    <t>Peerspace offsite venue $580/hr x 8h x 3d  —  Peerspace offsite / meeting venue listings, accessed 2026-09-10  —  https://www.peerspace.com/venues/chicago--il/offsite-meeting-location</t>
  </si>
  <si>
    <t>buffet $53/person x 44 x 6 meals x 1.32 fees/tax  —  Corporate catering 2026 price guides, accessed 2026-09-10  —  https://www.eatbreadless.com/blog/corporate-event-catering-2026-guide/</t>
  </si>
  <si>
    <t>GBTA 2026 domestic trip $933 x 44 attendees x 67% flying  —  GBTA Business Travel Index 2026 (via Engine / BTE), accessed 2026-09-10  —  https://engine.com/business-travel-guide/business-travel-data-trends</t>
  </si>
  <si>
    <t>half-day workshop $91/person x 44 + $2,000 vendor minimum  —  Corporate team-building 2026 cost guides, accessed 2026-09-10  —  https://itsplaytyme.com/blog/how-much-does-corporate-team-building-cost/</t>
  </si>
  <si>
    <t>RET_2026_45  ·  Client B  ·  Nashville, TN  ·  58 pax  ·  2026-12-23→2026-12-25</t>
  </si>
  <si>
    <t>Peerspace offsite venue $546/hr x 8h x 3d  —  Peerspace offsite / meeting venue listings, accessed 2026-09-10  —  https://www.peerspace.com/venues/chicago--il/offsite-meeting-location</t>
  </si>
  <si>
    <t>buffet $39/person x 58 x 6 meals x 1.33 fees/tax  —  Corporate catering 2026 price guides, accessed 2026-09-10  —  https://www.eatbreadless.com/blog/corporate-event-catering-2026-guide/</t>
  </si>
  <si>
    <t>GBTA 2026 domestic trip $1115 x 58 attendees x 69% flying  —  GBTA Business Travel Index 2026 (via Engine / BTE), accessed 2026-09-10  —  https://engine.com/business-travel-guide/business-travel-data-trends</t>
  </si>
  <si>
    <t>half-day workshop $107/person x 58 + $2,000 vendor minimum  —  Corporate team-building 2026 cost guides, accessed 2026-09-10  —  https://itsplaytyme.com/blog/how-much-does-corporate-team-building-cost/</t>
  </si>
  <si>
    <t>13-week rolling cash flow forecast</t>
  </si>
  <si>
    <t>Figures C–E are /api/cashflow/forecast output VERBATIM (backend.logic.cashflow, incl. pipeline projection for upcoming retreats). Columns F–G re-derive Net and Ending from the components with Excel formulas; the 'check' column must read ok on every row.</t>
  </si>
  <si>
    <t>assumptions: ar_collect_prob 0.89, ap_pay_prob 0.9, ar_lag 1d, ap_lag 12d, overdue catch-up 10d — 3 upcoming retreat(s) projected at 40% of budget as a client deposit</t>
  </si>
  <si>
    <t>week start</t>
  </si>
  <si>
    <t>week end</t>
  </si>
  <si>
    <t>expected collections</t>
  </si>
  <si>
    <t>pipeline collections</t>
  </si>
  <si>
    <t>scheduled payments</t>
  </si>
  <si>
    <t>net (formula)</t>
  </si>
  <si>
    <t>ending balance (formula)</t>
  </si>
  <si>
    <t>net (API)</t>
  </si>
  <si>
    <t>ending (API)</t>
  </si>
  <si>
    <t>check</t>
  </si>
  <si>
    <t>min ending balance 862,926.38 @ 2026-09-07  ·  shortfall weeks: none</t>
  </si>
  <si>
    <t>Data Sources &amp; provenance</t>
  </si>
  <si>
    <t>Full detail: data/DATA_NOTES.md (the authoritative, standalone-readable master). This tab mirrors /api/provenance so the workbook is self-describing when reviewed disconnected from the repo.</t>
  </si>
  <si>
    <t>HEADLINE CAVEAT — Bank-feed timing, amounts and duplicate/noise structure are real (Berka). The matchable description text on settlement transactions is synthesised — the anonymised source has no counterparty text to fuzzy-match against.</t>
  </si>
  <si>
    <t>source</t>
  </si>
  <si>
    <t>kind</t>
  </si>
  <si>
    <t>url</t>
  </si>
  <si>
    <t>accessed</t>
  </si>
  <si>
    <t>notes</t>
  </si>
  <si>
    <t>UCI Online Retail II</t>
  </si>
  <si>
    <t>dataset</t>
  </si>
  <si>
    <t>https://archive.ics.uci.edu/dataset/502/online+retail+ii</t>
  </si>
  <si>
    <t>2026-09-10</t>
  </si>
  <si>
    <t>UK online retailer 2009-2011. CC BY 4.0. Chosen deliberately over a Kaggle mirror for citation stability. Real: invoice amounts, dispersion, 8,296 cancellation invoices. Constructed: mapping to clients/retreats; GBP-&gt;USD 1:1; single constant scale (AR_SCALE=30, AP_SCALE=12).</t>
  </si>
  <si>
    <t>Berka / PKDD'99 Discovery Challenge</t>
  </si>
  <si>
    <t>http://sorry.vse.cz/~berka/challenge/pkdd1999/berka.htm</t>
  </si>
  <si>
    <t>Anonymised Czech bank 1993-1998, 1,056,320 transactions. Downloaded from the jlacko/berka-dataset GitHub mirror (canonical host unreachable on access date). Chosen deliberately over Kaggle for citation stability. Real: transaction dates (shifted +28y, intervals preserved), amounts + descriptions of noise transactions. Constructed: use as this business's bank feed; CZK-&gt;USD 1:1.</t>
  </si>
  <si>
    <t>Peerspace offsite / meeting venue listings</t>
  </si>
  <si>
    <t>pricing</t>
  </si>
  <si>
    <t>https://www.peerspace.com/venues/chicago--il/offsite-meeting-location</t>
  </si>
  <si>
    <t>Large offsite venues ~$617/hr (Chicago); city averages $112-150/hr; example LA listing $295/hr for up to 250 guests. Range used: $295-617/hr.</t>
  </si>
  <si>
    <t>Corporate catering 2026 price guides</t>
  </si>
  <si>
    <t>https://www.eatbreadless.com/blog/corporate-event-catering-2026-guide/</t>
  </si>
  <si>
    <t>Buffet $30-70/person; drop-off ~$15; plated $50-120; +25-35% delivery/service/tax. Also https://tastefullyyours.com/catering-prices-per-person/ .</t>
  </si>
  <si>
    <t>Corporate team-building 2026 cost guides</t>
  </si>
  <si>
    <t>https://itsplaytyme.com/blog/how-much-does-corporate-team-building-cost/</t>
  </si>
  <si>
    <t>Typical $35-125/person; half-day workshop $85-125/person; premium $125-300+; ~$2,000 vendor minimum event fee. Also https://wearespin.com/how-much-do-corporate-team-building-activities-cost/ .</t>
  </si>
  <si>
    <t>GBTA Business Travel Index 2026 (via Engine / BTE)</t>
  </si>
  <si>
    <t>https://engine.com/business-travel-guide/business-travel-data-trends</t>
  </si>
  <si>
    <t>Avg US domestic business trip $1,293 all-in; airfare stabilising ~$708 (economy ~$536). Also https://gbta.org/global-business-travel-and-events-prices-set-to-stabilize-through-2025-and-2026-amid-looming-economic-uncertainty/ .</t>
  </si>
  <si>
    <t>SEC EDGAR XBRL company facts</t>
  </si>
  <si>
    <t>benchmark</t>
  </si>
  <si>
    <t>https://data.sec.gov/api/xbrl/</t>
  </si>
  <si>
    <t>10-K AR / AP / Revenue for MAR, HLT, LYV, GBTG (FY2022-FY2025). DSO=AR/Rev*365; DPO=AP/Rev*365 (revenue proxy: no CostOfRevenue tag filed by these issuers).</t>
  </si>
  <si>
    <t>Reconciliation match-rate caveat</t>
  </si>
  <si>
    <t>Build: deterministic (RANDOM_SEED=42). DSO/DPO validation gate 45–75 / 20–40 days (SEC-derived). as-of 2026-09-10.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</si>
</sst>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"/>
    <numFmt numFmtId="167" formatCode="#,##0"/>
    <numFmt numFmtId="168" formatCode="0.0%"/>
  </numFmts>
  <fonts count="10">
    <font>
      <sz val="11"/>
      <color theme="1"/>
      <name val="Calibri"/>
      <family val="2"/>
      <scheme val="minor"/>
    </font>
    <font>
      <b/>
      <sz val="15"/>
      <color rgb="FF1B222C"/>
      <name val="Calibri"/>
      <family val="2"/>
      <scheme val="minor"/>
    </font>
    <font>
      <i/>
      <sz val="10"/>
      <color rgb="FF5C677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1B222C"/>
      <name val="Calibri"/>
      <family val="2"/>
      <scheme val="minor"/>
    </font>
    <font>
      <sz val="10"/>
      <color rgb="FF1B222C"/>
      <name val="Calibri"/>
      <family val="2"/>
      <scheme val="minor"/>
    </font>
    <font>
      <sz val="10"/>
      <color theme="1"/>
      <name val="Consolas"/>
      <family val="2"/>
    </font>
    <font>
      <b/>
      <sz val="10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B222C"/>
        <bgColor indexed="64"/>
      </patternFill>
    </fill>
    <fill>
      <patternFill patternType="solid">
        <fgColor rgb="FFFEF6E7"/>
        <bgColor indexed="64"/>
      </patternFill>
    </fill>
  </fills>
  <borders count="3">
    <border>
      <left/>
      <right/>
      <top/>
      <bottom/>
      <diagonal/>
    </border>
    <border>
      <left style="thin">
        <color rgb="FFD5DBE2"/>
      </left>
      <right style="thin">
        <color rgb="FFD5DBE2"/>
      </right>
      <top style="thin">
        <color rgb="FFD5DBE2"/>
      </top>
      <bottom style="thin">
        <color rgb="FFD5DBE2"/>
      </bottom>
      <diagonal/>
    </border>
    <border>
      <left style="thin">
        <color rgb="FFD29922"/>
      </left>
      <right style="thin">
        <color rgb="FFD29922"/>
      </right>
      <top style="thin">
        <color rgb="FFD29922"/>
      </top>
      <bottom style="thin">
        <color rgb="FFD299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1" xfId="0" applyNumberFormat="1" applyFont="1" applyBorder="1"/>
    <xf numFmtId="0" fontId="4" fillId="2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0" fontId="5" fillId="0" borderId="0" xfId="0" applyFont="1"/>
    <xf numFmtId="0" fontId="6" fillId="3" borderId="2" xfId="0" applyFont="1" applyFill="1" applyBorder="1" applyAlignment="1">
      <alignment vertical="top" wrapText="1"/>
    </xf>
    <xf numFmtId="0" fontId="7" fillId="0" borderId="1" xfId="0" applyFont="1" applyBorder="1"/>
    <xf numFmtId="165" fontId="8" fillId="0" borderId="1" xfId="0" applyNumberFormat="1" applyFont="1" applyBorder="1"/>
  </cellXfs>
  <cellStyles count="1">
    <cellStyle name="Normal" xfId="0" builtinId="0"/>
  </cellStyles>
  <dxfs count="4">
    <dxf>
      <font>
        <color rgb="FF1E7B34"/>
      </font>
      <fill>
        <patternFill>
          <bgColor rgb="FFEAF7EE"/>
        </patternFill>
      </fill>
    </dxf>
    <dxf>
      <font>
        <b/>
        <color rgb="FFF85149"/>
      </font>
      <fill>
        <patternFill>
          <bgColor rgb="FFFDECEA"/>
        </patternFill>
      </fill>
    </dxf>
    <dxf>
      <font>
        <color rgb="FF9A6B00"/>
      </font>
      <fill>
        <patternFill>
          <bgColor rgb="FFFEF6E7"/>
        </patternFill>
      </fill>
    </dxf>
    <dxf>
      <font>
        <color rgb="FF5C6773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AR / AP aging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AR</c:v>
          </c:tx>
          <c:dPt>
            <c:idx val="0"/>
            <c:spPr>
              <a:solidFill>
                <a:srgbClr val="8B97A5"/>
              </a:solidFill>
            </c:spPr>
          </c:dPt>
          <c:dPt>
            <c:idx val="1"/>
            <c:spPr>
              <a:solidFill>
                <a:srgbClr val="6B7684"/>
              </a:solidFill>
            </c:spPr>
          </c:dPt>
          <c:dPt>
            <c:idx val="2"/>
            <c:spPr>
              <a:solidFill>
                <a:srgbClr val="B0851F"/>
              </a:solidFill>
            </c:spPr>
          </c:dPt>
          <c:dPt>
            <c:idx val="3"/>
            <c:spPr>
              <a:solidFill>
                <a:srgbClr val="D29922"/>
              </a:solidFill>
            </c:spPr>
          </c:dPt>
          <c:dPt>
            <c:idx val="4"/>
            <c:spPr>
              <a:solidFill>
                <a:srgbClr val="F85149"/>
              </a:solidFill>
            </c:spPr>
          </c:dPt>
          <c:cat>
            <c:strRef>
              <c:f>_chartdata!$A$2:$A$6</c:f>
              <c:strCache>
                <c:ptCount val="5"/>
                <c:pt idx="0">
                  <c:v>current</c:v>
                </c:pt>
                <c:pt idx="1">
                  <c:v>0-30</c:v>
                </c:pt>
                <c:pt idx="2">
                  <c:v>31-60</c:v>
                </c:pt>
                <c:pt idx="3">
                  <c:v>61-90</c:v>
                </c:pt>
                <c:pt idx="4">
                  <c:v>90+</c:v>
                </c:pt>
              </c:strCache>
            </c:strRef>
          </c:cat>
          <c:val>
            <c:numRef>
              <c:f>_chartdata!$B$2:$B$6</c:f>
              <c:numCache>
                <c:formatCode>General</c:formatCode>
                <c:ptCount val="5"/>
                <c:pt idx="0">
                  <c:v>472501.74</c:v>
                </c:pt>
                <c:pt idx="1">
                  <c:v>28999.8</c:v>
                </c:pt>
                <c:pt idx="2">
                  <c:v>86305.5</c:v>
                </c:pt>
                <c:pt idx="3">
                  <c:v>122743.8</c:v>
                </c:pt>
                <c:pt idx="4">
                  <c:v>106373.76</c:v>
                </c:pt>
              </c:numCache>
            </c:numRef>
          </c:val>
        </c:ser>
        <c:ser>
          <c:idx val="1"/>
          <c:order val="1"/>
          <c:tx>
            <c:v>AP</c:v>
          </c:tx>
          <c:dPt>
            <c:idx val="0"/>
            <c:spPr>
              <a:solidFill>
                <a:srgbClr val="8B97A5">
                  <a:alpha val="55000"/>
                </a:srgbClr>
              </a:solidFill>
            </c:spPr>
          </c:dPt>
          <c:dPt>
            <c:idx val="1"/>
            <c:spPr>
              <a:solidFill>
                <a:srgbClr val="6B7684">
                  <a:alpha val="55000"/>
                </a:srgbClr>
              </a:solidFill>
            </c:spPr>
          </c:dPt>
          <c:dPt>
            <c:idx val="2"/>
            <c:spPr>
              <a:solidFill>
                <a:srgbClr val="B0851F">
                  <a:alpha val="55000"/>
                </a:srgbClr>
              </a:solidFill>
            </c:spPr>
          </c:dPt>
          <c:dPt>
            <c:idx val="3"/>
            <c:spPr>
              <a:solidFill>
                <a:srgbClr val="D29922">
                  <a:alpha val="55000"/>
                </a:srgbClr>
              </a:solidFill>
            </c:spPr>
          </c:dPt>
          <c:dPt>
            <c:idx val="4"/>
            <c:spPr>
              <a:solidFill>
                <a:srgbClr val="F85149">
                  <a:alpha val="55000"/>
                </a:srgbClr>
              </a:solidFill>
            </c:spPr>
          </c:dPt>
          <c:cat>
            <c:strRef>
              <c:f>_chartdata!$A$2:$A$6</c:f>
              <c:strCache>
                <c:ptCount val="5"/>
                <c:pt idx="0">
                  <c:v>current</c:v>
                </c:pt>
                <c:pt idx="1">
                  <c:v>0-30</c:v>
                </c:pt>
                <c:pt idx="2">
                  <c:v>31-60</c:v>
                </c:pt>
                <c:pt idx="3">
                  <c:v>61-90</c:v>
                </c:pt>
                <c:pt idx="4">
                  <c:v>90+</c:v>
                </c:pt>
              </c:strCache>
            </c:strRef>
          </c:cat>
          <c:val>
            <c:numRef>
              <c:f>_chartdata!$C$2:$C$6</c:f>
              <c:numCache>
                <c:formatCode>General</c:formatCode>
                <c:ptCount val="5"/>
                <c:pt idx="0">
                  <c:v>54942.3</c:v>
                </c:pt>
                <c:pt idx="1">
                  <c:v>44540.82</c:v>
                </c:pt>
                <c:pt idx="2">
                  <c:v>34258.5</c:v>
                </c:pt>
                <c:pt idx="3">
                  <c:v>29039.94</c:v>
                </c:pt>
                <c:pt idx="4">
                  <c:v>48433.5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13-week cash flow forecast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collections</c:v>
          </c:tx>
          <c:spPr>
            <a:solidFill>
              <a:srgbClr val="3FB950"/>
            </a:solidFill>
          </c:spPr>
          <c:cat>
            <c:strRef>
              <c:f>_chartdata!$A$9:$A$21</c:f>
              <c:strCache>
                <c:ptCount val="13"/>
                <c:pt idx="0">
                  <c:v>2026-09-07</c:v>
                </c:pt>
                <c:pt idx="1">
                  <c:v>2026-09-14</c:v>
                </c:pt>
                <c:pt idx="2">
                  <c:v>2026-09-21</c:v>
                </c:pt>
                <c:pt idx="3">
                  <c:v>2026-09-28</c:v>
                </c:pt>
                <c:pt idx="4">
                  <c:v>2026-10-05</c:v>
                </c:pt>
                <c:pt idx="5">
                  <c:v>2026-10-12</c:v>
                </c:pt>
                <c:pt idx="6">
                  <c:v>2026-10-19</c:v>
                </c:pt>
                <c:pt idx="7">
                  <c:v>2026-10-26</c:v>
                </c:pt>
                <c:pt idx="8">
                  <c:v>2026-11-02</c:v>
                </c:pt>
                <c:pt idx="9">
                  <c:v>2026-11-09</c:v>
                </c:pt>
                <c:pt idx="10">
                  <c:v>2026-11-16</c:v>
                </c:pt>
                <c:pt idx="11">
                  <c:v>2026-11-23</c:v>
                </c:pt>
                <c:pt idx="12">
                  <c:v>2026-11-30</c:v>
                </c:pt>
              </c:strCache>
            </c:strRef>
          </c:cat>
          <c:val>
            <c:numRef>
              <c:f>_chartdata!$B$9:$B$21</c:f>
              <c:numCache>
                <c:formatCode>General</c:formatCode>
                <c:ptCount val="13"/>
                <c:pt idx="0">
                  <c:v>0</c:v>
                </c:pt>
                <c:pt idx="1">
                  <c:v>385630.56</c:v>
                </c:pt>
                <c:pt idx="2">
                  <c:v>58531.47</c:v>
                </c:pt>
                <c:pt idx="3">
                  <c:v>120853.01</c:v>
                </c:pt>
                <c:pt idx="4">
                  <c:v>28296.87</c:v>
                </c:pt>
                <c:pt idx="5">
                  <c:v>108674.87</c:v>
                </c:pt>
                <c:pt idx="6">
                  <c:v>25076.11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pipeline</c:v>
          </c:tx>
          <c:spPr>
            <a:solidFill>
              <a:srgbClr val="4C8DFF"/>
            </a:solidFill>
          </c:spPr>
          <c:cat>
            <c:strRef>
              <c:f>_chartdata!$A$9:$A$21</c:f>
              <c:strCache>
                <c:ptCount val="13"/>
                <c:pt idx="0">
                  <c:v>2026-09-07</c:v>
                </c:pt>
                <c:pt idx="1">
                  <c:v>2026-09-14</c:v>
                </c:pt>
                <c:pt idx="2">
                  <c:v>2026-09-21</c:v>
                </c:pt>
                <c:pt idx="3">
                  <c:v>2026-09-28</c:v>
                </c:pt>
                <c:pt idx="4">
                  <c:v>2026-10-05</c:v>
                </c:pt>
                <c:pt idx="5">
                  <c:v>2026-10-12</c:v>
                </c:pt>
                <c:pt idx="6">
                  <c:v>2026-10-19</c:v>
                </c:pt>
                <c:pt idx="7">
                  <c:v>2026-10-26</c:v>
                </c:pt>
                <c:pt idx="8">
                  <c:v>2026-11-02</c:v>
                </c:pt>
                <c:pt idx="9">
                  <c:v>2026-11-09</c:v>
                </c:pt>
                <c:pt idx="10">
                  <c:v>2026-11-16</c:v>
                </c:pt>
                <c:pt idx="11">
                  <c:v>2026-11-23</c:v>
                </c:pt>
                <c:pt idx="12">
                  <c:v>2026-11-30</c:v>
                </c:pt>
              </c:strCache>
            </c:strRef>
          </c:cat>
          <c:val>
            <c:numRef>
              <c:f>_chartdata!$C$9:$C$21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30261.38</c:v>
                </c:pt>
                <c:pt idx="6">
                  <c:v>0</c:v>
                </c:pt>
                <c:pt idx="7">
                  <c:v>19104.13</c:v>
                </c:pt>
                <c:pt idx="8">
                  <c:v>0</c:v>
                </c:pt>
                <c:pt idx="9">
                  <c:v>0</c:v>
                </c:pt>
                <c:pt idx="10">
                  <c:v>25815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v>payments</c:v>
          </c:tx>
          <c:spPr>
            <a:solidFill>
              <a:srgbClr val="F85149"/>
            </a:solidFill>
          </c:spPr>
          <c:cat>
            <c:strRef>
              <c:f>_chartdata!$A$9:$A$21</c:f>
              <c:strCache>
                <c:ptCount val="13"/>
                <c:pt idx="0">
                  <c:v>2026-09-07</c:v>
                </c:pt>
                <c:pt idx="1">
                  <c:v>2026-09-14</c:v>
                </c:pt>
                <c:pt idx="2">
                  <c:v>2026-09-21</c:v>
                </c:pt>
                <c:pt idx="3">
                  <c:v>2026-09-28</c:v>
                </c:pt>
                <c:pt idx="4">
                  <c:v>2026-10-05</c:v>
                </c:pt>
                <c:pt idx="5">
                  <c:v>2026-10-12</c:v>
                </c:pt>
                <c:pt idx="6">
                  <c:v>2026-10-19</c:v>
                </c:pt>
                <c:pt idx="7">
                  <c:v>2026-10-26</c:v>
                </c:pt>
                <c:pt idx="8">
                  <c:v>2026-11-02</c:v>
                </c:pt>
                <c:pt idx="9">
                  <c:v>2026-11-09</c:v>
                </c:pt>
                <c:pt idx="10">
                  <c:v>2026-11-16</c:v>
                </c:pt>
                <c:pt idx="11">
                  <c:v>2026-11-23</c:v>
                </c:pt>
                <c:pt idx="12">
                  <c:v>2026-11-30</c:v>
                </c:pt>
              </c:strCache>
            </c:strRef>
          </c:cat>
          <c:val>
            <c:numRef>
              <c:f>_chartdata!$D$9:$D$21</c:f>
              <c:numCache>
                <c:formatCode>General</c:formatCode>
                <c:ptCount val="13"/>
                <c:pt idx="0">
                  <c:v>-0</c:v>
                </c:pt>
                <c:pt idx="1">
                  <c:v>-140645.48</c:v>
                </c:pt>
                <c:pt idx="2">
                  <c:v>-33984.68</c:v>
                </c:pt>
                <c:pt idx="3">
                  <c:v>-15463.39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3"/>
          <c:order val="3"/>
          <c:tx>
            <c:v>ending balance</c:v>
          </c:tx>
          <c:spPr>
            <a:ln w="22225">
              <a:solidFill>
                <a:srgbClr val="1B222C"/>
              </a:solidFill>
            </a:ln>
          </c:spPr>
          <c:marker>
            <c:symbol val="none"/>
          </c:marker>
          <c:cat>
            <c:strRef>
              <c:f>_chartdata!$A$9:$A$21</c:f>
              <c:strCache>
                <c:ptCount val="13"/>
                <c:pt idx="0">
                  <c:v>2026-09-07</c:v>
                </c:pt>
                <c:pt idx="1">
                  <c:v>2026-09-14</c:v>
                </c:pt>
                <c:pt idx="2">
                  <c:v>2026-09-21</c:v>
                </c:pt>
                <c:pt idx="3">
                  <c:v>2026-09-28</c:v>
                </c:pt>
                <c:pt idx="4">
                  <c:v>2026-10-05</c:v>
                </c:pt>
                <c:pt idx="5">
                  <c:v>2026-10-12</c:v>
                </c:pt>
                <c:pt idx="6">
                  <c:v>2026-10-19</c:v>
                </c:pt>
                <c:pt idx="7">
                  <c:v>2026-10-26</c:v>
                </c:pt>
                <c:pt idx="8">
                  <c:v>2026-11-02</c:v>
                </c:pt>
                <c:pt idx="9">
                  <c:v>2026-11-09</c:v>
                </c:pt>
                <c:pt idx="10">
                  <c:v>2026-11-16</c:v>
                </c:pt>
                <c:pt idx="11">
                  <c:v>2026-11-23</c:v>
                </c:pt>
                <c:pt idx="12">
                  <c:v>2026-11-30</c:v>
                </c:pt>
              </c:strCache>
            </c:strRef>
          </c:cat>
          <c:val>
            <c:numRef>
              <c:f>_chartdata!$E$9:$E$21</c:f>
              <c:numCache>
                <c:formatCode>General</c:formatCode>
                <c:ptCount val="13"/>
                <c:pt idx="0">
                  <c:v>862926.38</c:v>
                </c:pt>
                <c:pt idx="1">
                  <c:v>1107911.46</c:v>
                </c:pt>
                <c:pt idx="2">
                  <c:v>1132458.25</c:v>
                </c:pt>
                <c:pt idx="3">
                  <c:v>1237847.87</c:v>
                </c:pt>
                <c:pt idx="4">
                  <c:v>1266144.74</c:v>
                </c:pt>
                <c:pt idx="5">
                  <c:v>1405080.99</c:v>
                </c:pt>
                <c:pt idx="6">
                  <c:v>1430157.1</c:v>
                </c:pt>
                <c:pt idx="7">
                  <c:v>1449261.23</c:v>
                </c:pt>
                <c:pt idx="8">
                  <c:v>1449261.23</c:v>
                </c:pt>
                <c:pt idx="9">
                  <c:v>1449261.23</c:v>
                </c:pt>
                <c:pt idx="10">
                  <c:v>1475076.23</c:v>
                </c:pt>
                <c:pt idx="11">
                  <c:v>1475076.23</c:v>
                </c:pt>
                <c:pt idx="12">
                  <c:v>1475076.23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2</xdr:col>
      <xdr:colOff>1219200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2</xdr:col>
      <xdr:colOff>2743200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archive.ics.uci.edu/dataset/502/online+retail+ii" TargetMode="External"/><Relationship Id="rId2" Type="http://schemas.openxmlformats.org/officeDocument/2006/relationships/hyperlink" Target="http://sorry.vse.cz/~berka/challenge/pkdd1999/berka.htm" TargetMode="External"/><Relationship Id="rId3" Type="http://schemas.openxmlformats.org/officeDocument/2006/relationships/hyperlink" Target="https://www.peerspace.com/venues/chicago--il/offsite-meeting-location" TargetMode="External"/><Relationship Id="rId4" Type="http://schemas.openxmlformats.org/officeDocument/2006/relationships/hyperlink" Target="https://www.eatbreadless.com/blog/corporate-event-catering-2026-guide/" TargetMode="External"/><Relationship Id="rId5" Type="http://schemas.openxmlformats.org/officeDocument/2006/relationships/hyperlink" Target="https://itsplaytyme.com/blog/how-much-does-corporate-team-building-cost/" TargetMode="External"/><Relationship Id="rId6" Type="http://schemas.openxmlformats.org/officeDocument/2006/relationships/hyperlink" Target="https://engine.com/business-travel-guide/business-travel-data-trends" TargetMode="External"/><Relationship Id="rId7" Type="http://schemas.openxmlformats.org/officeDocument/2006/relationships/hyperlink" Target="https://data.sec.gov/api/xbr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showGridLines="0" tabSelected="1" workbookViewId="0"/>
  </sheetViews>
  <sheetFormatPr defaultRowHeight="15"/>
  <cols>
    <col min="1" max="1" width="30.7109375" customWidth="1"/>
    <col min="2" max="2" width="16.7109375" customWidth="1"/>
    <col min="3" max="3" width="46.7109375" customWidth="1"/>
    <col min="9" max="10" width="12.7109375" customWidth="1"/>
  </cols>
  <sheetData>
    <row r="1" spans="1:10">
      <c r="A1" s="1" t="s">
        <v>0</v>
      </c>
      <c r="I1" s="2" t="s">
        <v>2</v>
      </c>
      <c r="J1" s="3">
        <v>46275</v>
      </c>
    </row>
    <row r="2" spans="1:10">
      <c r="A2" s="2" t="s">
        <v>1</v>
      </c>
    </row>
    <row r="4" spans="1:10">
      <c r="A4" s="4" t="s">
        <v>3</v>
      </c>
      <c r="B4" s="4" t="s">
        <v>4</v>
      </c>
      <c r="C4" s="4" t="s">
        <v>5</v>
      </c>
    </row>
    <row r="5" spans="1:10">
      <c r="A5" s="5" t="s">
        <v>6</v>
      </c>
      <c r="B5" s="6">
        <v>816924.6</v>
      </c>
      <c r="C5" s="5" t="s">
        <v>7</v>
      </c>
    </row>
    <row r="6" spans="1:10">
      <c r="A6" s="5" t="s">
        <v>8</v>
      </c>
      <c r="B6" s="6">
        <v>211215.06</v>
      </c>
      <c r="C6" s="5" t="s">
        <v>9</v>
      </c>
    </row>
    <row r="7" spans="1:10">
      <c r="A7" s="5" t="s">
        <v>10</v>
      </c>
      <c r="B7" s="7">
        <v>74</v>
      </c>
      <c r="C7" s="5" t="s">
        <v>11</v>
      </c>
    </row>
    <row r="8" spans="1:10">
      <c r="A8" s="5" t="s">
        <v>12</v>
      </c>
      <c r="B8" s="7">
        <v>27.3</v>
      </c>
      <c r="C8" s="5" t="s">
        <v>13</v>
      </c>
    </row>
    <row r="9" spans="1:10">
      <c r="A9" s="5" t="s">
        <v>14</v>
      </c>
      <c r="B9" s="6">
        <v>862926.38</v>
      </c>
      <c r="C9" s="5" t="s">
        <v>15</v>
      </c>
    </row>
    <row r="10" spans="1:10">
      <c r="A10" s="5" t="s">
        <v>16</v>
      </c>
      <c r="B10" s="8">
        <v>6</v>
      </c>
      <c r="C10" s="5" t="s">
        <v>17</v>
      </c>
    </row>
    <row r="11" spans="1:10">
      <c r="A11" s="5" t="s">
        <v>18</v>
      </c>
      <c r="B11" s="6">
        <v>15286.64</v>
      </c>
      <c r="C11" s="5" t="s">
        <v>19</v>
      </c>
    </row>
    <row r="12" spans="1:10">
      <c r="A12" s="5" t="s">
        <v>20</v>
      </c>
      <c r="B12" s="9">
        <v>0.892</v>
      </c>
      <c r="C12" s="5" t="s">
        <v>21</v>
      </c>
    </row>
    <row r="14" spans="1:10">
      <c r="A14" s="10" t="s">
        <v>22</v>
      </c>
    </row>
    <row r="15" spans="1:10">
      <c r="A15" s="11" t="s">
        <v>23</v>
      </c>
      <c r="B15" s="11"/>
      <c r="C15" s="11"/>
    </row>
    <row r="16" spans="1:10">
      <c r="A16" s="11"/>
      <c r="B16" s="11"/>
      <c r="C16" s="11"/>
    </row>
    <row r="17" spans="1:3">
      <c r="A17" s="11"/>
      <c r="B17" s="11"/>
      <c r="C17" s="11"/>
    </row>
    <row r="18" spans="1:3">
      <c r="A18" s="11"/>
      <c r="B18" s="11"/>
      <c r="C18" s="11"/>
    </row>
    <row r="19" spans="1:3">
      <c r="A19" s="11"/>
      <c r="B19" s="11"/>
      <c r="C19" s="11"/>
    </row>
    <row r="20" spans="1:3">
      <c r="A20" s="11"/>
      <c r="B20" s="11"/>
      <c r="C20" s="11"/>
    </row>
    <row r="21" spans="1:3">
      <c r="A21" s="11"/>
      <c r="B21" s="11"/>
      <c r="C21" s="11"/>
    </row>
  </sheetData>
  <mergeCells count="1">
    <mergeCell ref="A15:C21"/>
  </mergeCells>
  <conditionalFormatting sqref="C7:C8">
    <cfRule type="containsText" dxfId="0" priority="1" operator="containsText" text="IN RANGE">
      <formula>NOT(ISERROR(SEARCH("IN RANGE",C7)))</formula>
    </cfRule>
    <cfRule type="containsText" dxfId="1" priority="2" operator="containsText" text="OUTSIDE">
      <formula>NOT(ISERROR(SEARCH("OUTSIDE",C7)))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24</v>
      </c>
      <c r="B1" t="s">
        <v>25</v>
      </c>
      <c r="C1" t="s">
        <v>26</v>
      </c>
    </row>
    <row r="2" spans="1:5">
      <c r="A2" t="s">
        <v>27</v>
      </c>
      <c r="B2">
        <v>472501.74</v>
      </c>
      <c r="C2">
        <v>54942.3</v>
      </c>
    </row>
    <row r="3" spans="1:5">
      <c r="A3" t="s">
        <v>28</v>
      </c>
      <c r="B3">
        <v>28999.8</v>
      </c>
      <c r="C3">
        <v>44540.82</v>
      </c>
    </row>
    <row r="4" spans="1:5">
      <c r="A4" t="s">
        <v>29</v>
      </c>
      <c r="B4">
        <v>86305.5</v>
      </c>
      <c r="C4">
        <v>34258.5</v>
      </c>
    </row>
    <row r="5" spans="1:5">
      <c r="A5" t="s">
        <v>30</v>
      </c>
      <c r="B5">
        <v>122743.8</v>
      </c>
      <c r="C5">
        <v>29039.94</v>
      </c>
    </row>
    <row r="6" spans="1:5">
      <c r="A6" t="s">
        <v>31</v>
      </c>
      <c r="B6">
        <v>106373.76</v>
      </c>
      <c r="C6">
        <v>48433.5</v>
      </c>
    </row>
    <row r="8" spans="1: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>
      <c r="A9" t="s">
        <v>37</v>
      </c>
      <c r="B9">
        <v>0</v>
      </c>
      <c r="C9">
        <v>0</v>
      </c>
      <c r="D9">
        <v>-0</v>
      </c>
      <c r="E9">
        <v>862926.38</v>
      </c>
    </row>
    <row r="10" spans="1:5">
      <c r="A10" t="s">
        <v>38</v>
      </c>
      <c r="B10">
        <v>385630.56</v>
      </c>
      <c r="C10">
        <v>0</v>
      </c>
      <c r="D10">
        <v>-140645.48</v>
      </c>
      <c r="E10">
        <v>1107911.46</v>
      </c>
    </row>
    <row r="11" spans="1:5">
      <c r="A11" t="s">
        <v>39</v>
      </c>
      <c r="B11">
        <v>58531.47</v>
      </c>
      <c r="C11">
        <v>0</v>
      </c>
      <c r="D11">
        <v>-33984.68</v>
      </c>
      <c r="E11">
        <v>1132458.25</v>
      </c>
    </row>
    <row r="12" spans="1:5">
      <c r="A12" t="s">
        <v>40</v>
      </c>
      <c r="B12">
        <v>120853.01</v>
      </c>
      <c r="C12">
        <v>0</v>
      </c>
      <c r="D12">
        <v>-15463.39</v>
      </c>
      <c r="E12">
        <v>1237847.87</v>
      </c>
    </row>
    <row r="13" spans="1:5">
      <c r="A13" t="s">
        <v>41</v>
      </c>
      <c r="B13">
        <v>28296.87</v>
      </c>
      <c r="C13">
        <v>0</v>
      </c>
      <c r="D13">
        <v>-0</v>
      </c>
      <c r="E13">
        <v>1266144.74</v>
      </c>
    </row>
    <row r="14" spans="1:5">
      <c r="A14" t="s">
        <v>42</v>
      </c>
      <c r="B14">
        <v>108674.87</v>
      </c>
      <c r="C14">
        <v>30261.38</v>
      </c>
      <c r="D14">
        <v>-0</v>
      </c>
      <c r="E14">
        <v>1405080.99</v>
      </c>
    </row>
    <row r="15" spans="1:5">
      <c r="A15" t="s">
        <v>43</v>
      </c>
      <c r="B15">
        <v>25076.11</v>
      </c>
      <c r="C15">
        <v>0</v>
      </c>
      <c r="D15">
        <v>-0</v>
      </c>
      <c r="E15">
        <v>1430157.1</v>
      </c>
    </row>
    <row r="16" spans="1:5">
      <c r="A16" t="s">
        <v>44</v>
      </c>
      <c r="B16">
        <v>0</v>
      </c>
      <c r="C16">
        <v>19104.13</v>
      </c>
      <c r="D16">
        <v>-0</v>
      </c>
      <c r="E16">
        <v>1449261.23</v>
      </c>
    </row>
    <row r="17" spans="1:5">
      <c r="A17" t="s">
        <v>45</v>
      </c>
      <c r="B17">
        <v>0</v>
      </c>
      <c r="C17">
        <v>0</v>
      </c>
      <c r="D17">
        <v>-0</v>
      </c>
      <c r="E17">
        <v>1449261.23</v>
      </c>
    </row>
    <row r="18" spans="1:5">
      <c r="A18" t="s">
        <v>46</v>
      </c>
      <c r="B18">
        <v>0</v>
      </c>
      <c r="C18">
        <v>0</v>
      </c>
      <c r="D18">
        <v>-0</v>
      </c>
      <c r="E18">
        <v>1449261.23</v>
      </c>
    </row>
    <row r="19" spans="1:5">
      <c r="A19" t="s">
        <v>47</v>
      </c>
      <c r="B19">
        <v>0</v>
      </c>
      <c r="C19">
        <v>25815</v>
      </c>
      <c r="D19">
        <v>-0</v>
      </c>
      <c r="E19">
        <v>1475076.23</v>
      </c>
    </row>
    <row r="20" spans="1:5">
      <c r="A20" t="s">
        <v>48</v>
      </c>
      <c r="B20">
        <v>0</v>
      </c>
      <c r="C20">
        <v>0</v>
      </c>
      <c r="D20">
        <v>-0</v>
      </c>
      <c r="E20">
        <v>1475076.23</v>
      </c>
    </row>
    <row r="21" spans="1:5">
      <c r="A21" t="s">
        <v>49</v>
      </c>
      <c r="B21">
        <v>0</v>
      </c>
      <c r="C21">
        <v>0</v>
      </c>
      <c r="D21">
        <v>-0</v>
      </c>
      <c r="E21">
        <v>1475076.23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0.7109375" customWidth="1"/>
    <col min="3" max="4" width="14.7109375" customWidth="1"/>
    <col min="5" max="6" width="12.7109375" customWidth="1"/>
    <col min="7" max="7" width="13.7109375" customWidth="1"/>
    <col min="8" max="11" width="12.7109375" customWidth="1"/>
    <col min="12" max="12" width="42.7109375" customWidth="1"/>
  </cols>
  <sheetData>
    <row r="1" spans="1:12">
      <c r="A1" s="1" t="s">
        <v>50</v>
      </c>
    </row>
    <row r="2" spans="1:12">
      <c r="A2" s="2" t="s">
        <v>51</v>
      </c>
    </row>
    <row r="4" spans="1:12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60</v>
      </c>
      <c r="J4" s="4" t="s">
        <v>61</v>
      </c>
      <c r="K4" s="4" t="s">
        <v>62</v>
      </c>
      <c r="L4" s="4" t="s">
        <v>63</v>
      </c>
    </row>
    <row r="5" spans="1:12">
      <c r="A5" s="12" t="s">
        <v>64</v>
      </c>
      <c r="B5" s="5" t="s">
        <v>65</v>
      </c>
      <c r="C5" s="5" t="s">
        <v>66</v>
      </c>
      <c r="D5" s="12" t="s">
        <v>67</v>
      </c>
      <c r="E5" s="3">
        <v>45830</v>
      </c>
      <c r="F5" s="3">
        <v>45860</v>
      </c>
      <c r="G5" s="6">
        <v>30146.4</v>
      </c>
      <c r="H5" s="5" t="s">
        <v>68</v>
      </c>
      <c r="I5" s="3">
        <v>45861</v>
      </c>
      <c r="J5" s="8">
        <f>AS_OF-F5</f>
        <v>415</v>
      </c>
      <c r="K5" s="5" t="str">
        <f>IF(OR(AND(H5&lt;&gt;"open",H5&lt;&gt;"partial"),G5&lt;=0),"n/a",IF(J5&lt;0,"current",IF(J5&lt;=30,"0-30",IF(J5&lt;=60,"31-60",IF(J5&lt;=90,"61-90","90+")))))</f>
        <v>n/a</v>
      </c>
      <c r="L5" s="12" t="s">
        <v>69</v>
      </c>
    </row>
    <row r="6" spans="1:12">
      <c r="A6" s="12" t="s">
        <v>70</v>
      </c>
      <c r="B6" s="5" t="s">
        <v>71</v>
      </c>
      <c r="C6" s="5" t="s">
        <v>66</v>
      </c>
      <c r="D6" s="12" t="s">
        <v>72</v>
      </c>
      <c r="E6" s="3">
        <v>45853</v>
      </c>
      <c r="F6" s="3">
        <v>45883</v>
      </c>
      <c r="G6" s="6">
        <v>33021.6</v>
      </c>
      <c r="H6" s="5" t="s">
        <v>68</v>
      </c>
      <c r="I6" s="3">
        <v>45884</v>
      </c>
      <c r="J6" s="8">
        <f>AS_OF-F6</f>
        <v>392</v>
      </c>
      <c r="K6" s="5" t="str">
        <f>IF(OR(AND(H6&lt;&gt;"open",H6&lt;&gt;"partial"),G6&lt;=0),"n/a",IF(J6&lt;0,"current",IF(J6&lt;=30,"0-30",IF(J6&lt;=60,"31-60",IF(J6&lt;=90,"61-90","90+")))))</f>
        <v>n/a</v>
      </c>
      <c r="L6" s="12" t="s">
        <v>73</v>
      </c>
    </row>
    <row r="7" spans="1:12">
      <c r="A7" s="12" t="s">
        <v>74</v>
      </c>
      <c r="B7" s="5" t="s">
        <v>75</v>
      </c>
      <c r="C7" s="5" t="s">
        <v>66</v>
      </c>
      <c r="D7" s="12" t="s">
        <v>76</v>
      </c>
      <c r="E7" s="3">
        <v>45850</v>
      </c>
      <c r="F7" s="3">
        <v>45895</v>
      </c>
      <c r="G7" s="6">
        <v>24714.3</v>
      </c>
      <c r="H7" s="5" t="s">
        <v>68</v>
      </c>
      <c r="I7" s="3">
        <v>45896</v>
      </c>
      <c r="J7" s="8">
        <f>AS_OF-F7</f>
        <v>380</v>
      </c>
      <c r="K7" s="5" t="str">
        <f>IF(OR(AND(H7&lt;&gt;"open",H7&lt;&gt;"partial"),G7&lt;=0),"n/a",IF(J7&lt;0,"current",IF(J7&lt;=30,"0-30",IF(J7&lt;=60,"31-60",IF(J7&lt;=90,"61-90","90+")))))</f>
        <v>n/a</v>
      </c>
      <c r="L7" s="12" t="s">
        <v>77</v>
      </c>
    </row>
    <row r="8" spans="1:12">
      <c r="A8" s="12" t="s">
        <v>78</v>
      </c>
      <c r="B8" s="5" t="s">
        <v>79</v>
      </c>
      <c r="C8" s="5" t="s">
        <v>66</v>
      </c>
      <c r="D8" s="12" t="s">
        <v>80</v>
      </c>
      <c r="E8" s="3">
        <v>45866</v>
      </c>
      <c r="F8" s="3">
        <v>45911</v>
      </c>
      <c r="G8" s="6">
        <v>37544.4</v>
      </c>
      <c r="H8" s="5" t="s">
        <v>68</v>
      </c>
      <c r="I8" s="3">
        <v>45912</v>
      </c>
      <c r="J8" s="8">
        <f>AS_OF-F8</f>
        <v>364</v>
      </c>
      <c r="K8" s="5" t="str">
        <f>IF(OR(AND(H8&lt;&gt;"open",H8&lt;&gt;"partial"),G8&lt;=0),"n/a",IF(J8&lt;0,"current",IF(J8&lt;=30,"0-30",IF(J8&lt;=60,"31-60",IF(J8&lt;=90,"61-90","90+")))))</f>
        <v>n/a</v>
      </c>
      <c r="L8" s="12" t="s">
        <v>81</v>
      </c>
    </row>
    <row r="9" spans="1:12">
      <c r="A9" s="12" t="s">
        <v>82</v>
      </c>
      <c r="B9" s="5" t="s">
        <v>83</v>
      </c>
      <c r="C9" s="5" t="s">
        <v>66</v>
      </c>
      <c r="D9" s="12" t="s">
        <v>84</v>
      </c>
      <c r="E9" s="3">
        <v>45868</v>
      </c>
      <c r="F9" s="3">
        <v>45913</v>
      </c>
      <c r="G9" s="6">
        <v>35331</v>
      </c>
      <c r="H9" s="5" t="s">
        <v>68</v>
      </c>
      <c r="I9" s="3">
        <v>45915</v>
      </c>
      <c r="J9" s="8">
        <f>AS_OF-F9</f>
        <v>362</v>
      </c>
      <c r="K9" s="5" t="str">
        <f>IF(OR(AND(H9&lt;&gt;"open",H9&lt;&gt;"partial"),G9&lt;=0),"n/a",IF(J9&lt;0,"current",IF(J9&lt;=30,"0-30",IF(J9&lt;=60,"31-60",IF(J9&lt;=90,"61-90","90+")))))</f>
        <v>n/a</v>
      </c>
      <c r="L9" s="12" t="s">
        <v>85</v>
      </c>
    </row>
    <row r="10" spans="1:12">
      <c r="A10" s="12" t="s">
        <v>86</v>
      </c>
      <c r="B10" s="5" t="s">
        <v>65</v>
      </c>
      <c r="C10" s="5" t="s">
        <v>87</v>
      </c>
      <c r="D10" s="12" t="s">
        <v>67</v>
      </c>
      <c r="E10" s="3">
        <v>45896</v>
      </c>
      <c r="F10" s="3">
        <v>45926</v>
      </c>
      <c r="G10" s="6">
        <v>43107.9</v>
      </c>
      <c r="H10" s="5" t="s">
        <v>68</v>
      </c>
      <c r="I10" s="3">
        <v>45927</v>
      </c>
      <c r="J10" s="8">
        <f>AS_OF-F10</f>
        <v>349</v>
      </c>
      <c r="K10" s="5" t="str">
        <f>IF(OR(AND(H10&lt;&gt;"open",H10&lt;&gt;"partial"),G10&lt;=0),"n/a",IF(J10&lt;0,"current",IF(J10&lt;=30,"0-30",IF(J10&lt;=60,"31-60",IF(J10&lt;=90,"61-90","90+")))))</f>
        <v>n/a</v>
      </c>
      <c r="L10" s="12" t="s">
        <v>88</v>
      </c>
    </row>
    <row r="11" spans="1:12">
      <c r="A11" s="12" t="s">
        <v>89</v>
      </c>
      <c r="B11" s="5" t="s">
        <v>65</v>
      </c>
      <c r="C11" s="5" t="s">
        <v>90</v>
      </c>
      <c r="D11" s="12" t="s">
        <v>67</v>
      </c>
      <c r="E11" s="3">
        <v>45898</v>
      </c>
      <c r="F11" s="3">
        <v>45928</v>
      </c>
      <c r="G11" s="6">
        <v>12416.04</v>
      </c>
      <c r="H11" s="5" t="s">
        <v>68</v>
      </c>
      <c r="I11" s="3">
        <v>45929</v>
      </c>
      <c r="J11" s="8">
        <f>AS_OF-F11</f>
        <v>347</v>
      </c>
      <c r="K11" s="5" t="str">
        <f>IF(OR(AND(H11&lt;&gt;"open",H11&lt;&gt;"partial"),G11&lt;=0),"n/a",IF(J11&lt;0,"current",IF(J11&lt;=30,"0-30",IF(J11&lt;=60,"31-60",IF(J11&lt;=90,"61-90","90+")))))</f>
        <v>n/a</v>
      </c>
      <c r="L11" s="12" t="s">
        <v>91</v>
      </c>
    </row>
    <row r="12" spans="1:12">
      <c r="A12" s="12" t="s">
        <v>92</v>
      </c>
      <c r="B12" s="5" t="s">
        <v>93</v>
      </c>
      <c r="C12" s="5" t="s">
        <v>66</v>
      </c>
      <c r="D12" s="12" t="s">
        <v>94</v>
      </c>
      <c r="E12" s="3">
        <v>45887</v>
      </c>
      <c r="F12" s="3">
        <v>45932</v>
      </c>
      <c r="G12" s="6">
        <v>33850.5</v>
      </c>
      <c r="H12" s="5" t="s">
        <v>68</v>
      </c>
      <c r="I12" s="3">
        <v>45933</v>
      </c>
      <c r="J12" s="8">
        <f>AS_OF-F12</f>
        <v>343</v>
      </c>
      <c r="K12" s="5" t="str">
        <f>IF(OR(AND(H12&lt;&gt;"open",H12&lt;&gt;"partial"),G12&lt;=0),"n/a",IF(J12&lt;0,"current",IF(J12&lt;=30,"0-30",IF(J12&lt;=60,"31-60",IF(J12&lt;=90,"61-90","90+")))))</f>
        <v>n/a</v>
      </c>
      <c r="L12" s="12" t="s">
        <v>95</v>
      </c>
    </row>
    <row r="13" spans="1:12">
      <c r="A13" s="12" t="s">
        <v>96</v>
      </c>
      <c r="B13" s="5" t="s">
        <v>79</v>
      </c>
      <c r="C13" s="5" t="s">
        <v>66</v>
      </c>
      <c r="D13" s="12" t="s">
        <v>97</v>
      </c>
      <c r="E13" s="3">
        <v>45891</v>
      </c>
      <c r="F13" s="3">
        <v>45936</v>
      </c>
      <c r="G13" s="6">
        <v>47662.5</v>
      </c>
      <c r="H13" s="5" t="s">
        <v>68</v>
      </c>
      <c r="I13" s="3">
        <v>45937</v>
      </c>
      <c r="J13" s="8">
        <f>AS_OF-F13</f>
        <v>339</v>
      </c>
      <c r="K13" s="5" t="str">
        <f>IF(OR(AND(H13&lt;&gt;"open",H13&lt;&gt;"partial"),G13&lt;=0),"n/a",IF(J13&lt;0,"current",IF(J13&lt;=30,"0-30",IF(J13&lt;=60,"31-60",IF(J13&lt;=90,"61-90","90+")))))</f>
        <v>n/a</v>
      </c>
      <c r="L13" s="12" t="s">
        <v>98</v>
      </c>
    </row>
    <row r="14" spans="1:12">
      <c r="A14" s="12" t="s">
        <v>99</v>
      </c>
      <c r="B14" s="5" t="s">
        <v>83</v>
      </c>
      <c r="C14" s="5" t="s">
        <v>66</v>
      </c>
      <c r="D14" s="12" t="s">
        <v>100</v>
      </c>
      <c r="E14" s="3">
        <v>45909</v>
      </c>
      <c r="F14" s="3">
        <v>45939</v>
      </c>
      <c r="G14" s="6">
        <v>30705</v>
      </c>
      <c r="H14" s="5" t="s">
        <v>68</v>
      </c>
      <c r="I14" s="3">
        <v>45939</v>
      </c>
      <c r="J14" s="8">
        <f>AS_OF-F14</f>
        <v>336</v>
      </c>
      <c r="K14" s="5" t="str">
        <f>IF(OR(AND(H14&lt;&gt;"open",H14&lt;&gt;"partial"),G14&lt;=0),"n/a",IF(J14&lt;0,"current",IF(J14&lt;=30,"0-30",IF(J14&lt;=60,"31-60",IF(J14&lt;=90,"61-90","90+")))))</f>
        <v>n/a</v>
      </c>
      <c r="L14" s="12" t="s">
        <v>101</v>
      </c>
    </row>
    <row r="15" spans="1:12">
      <c r="A15" s="12" t="s">
        <v>102</v>
      </c>
      <c r="B15" s="5" t="s">
        <v>75</v>
      </c>
      <c r="C15" s="5" t="s">
        <v>87</v>
      </c>
      <c r="D15" s="12" t="s">
        <v>76</v>
      </c>
      <c r="E15" s="3">
        <v>45897</v>
      </c>
      <c r="F15" s="3">
        <v>45942</v>
      </c>
      <c r="G15" s="6">
        <v>106420.2</v>
      </c>
      <c r="H15" s="5" t="s">
        <v>68</v>
      </c>
      <c r="I15" s="3">
        <v>45943</v>
      </c>
      <c r="J15" s="8">
        <f>AS_OF-F15</f>
        <v>333</v>
      </c>
      <c r="K15" s="5" t="str">
        <f>IF(OR(AND(H15&lt;&gt;"open",H15&lt;&gt;"partial"),G15&lt;=0),"n/a",IF(J15&lt;0,"current",IF(J15&lt;=30,"0-30",IF(J15&lt;=60,"31-60",IF(J15&lt;=90,"61-90","90+")))))</f>
        <v>n/a</v>
      </c>
      <c r="L15" s="12" t="s">
        <v>103</v>
      </c>
    </row>
    <row r="16" spans="1:12">
      <c r="A16" s="12" t="s">
        <v>104</v>
      </c>
      <c r="B16" s="5" t="s">
        <v>71</v>
      </c>
      <c r="C16" s="5" t="s">
        <v>87</v>
      </c>
      <c r="D16" s="12" t="s">
        <v>72</v>
      </c>
      <c r="E16" s="3">
        <v>45917</v>
      </c>
      <c r="F16" s="3">
        <v>45947</v>
      </c>
      <c r="G16" s="6">
        <v>70311.60000000001</v>
      </c>
      <c r="H16" s="5" t="s">
        <v>68</v>
      </c>
      <c r="I16" s="3">
        <v>45948</v>
      </c>
      <c r="J16" s="8">
        <f>AS_OF-F16</f>
        <v>328</v>
      </c>
      <c r="K16" s="5" t="str">
        <f>IF(OR(AND(H16&lt;&gt;"open",H16&lt;&gt;"partial"),G16&lt;=0),"n/a",IF(J16&lt;0,"current",IF(J16&lt;=30,"0-30",IF(J16&lt;=60,"31-60",IF(J16&lt;=90,"61-90","90+")))))</f>
        <v>n/a</v>
      </c>
      <c r="L16" s="12" t="s">
        <v>105</v>
      </c>
    </row>
    <row r="17" spans="1:12">
      <c r="A17" s="12" t="s">
        <v>106</v>
      </c>
      <c r="B17" s="5" t="s">
        <v>83</v>
      </c>
      <c r="C17" s="5" t="s">
        <v>66</v>
      </c>
      <c r="D17" s="12" t="s">
        <v>107</v>
      </c>
      <c r="E17" s="3">
        <v>45907</v>
      </c>
      <c r="F17" s="3">
        <v>45952</v>
      </c>
      <c r="G17" s="6">
        <v>30268.5</v>
      </c>
      <c r="H17" s="5" t="s">
        <v>68</v>
      </c>
      <c r="I17" s="3">
        <v>45953</v>
      </c>
      <c r="J17" s="8">
        <f>AS_OF-F17</f>
        <v>323</v>
      </c>
      <c r="K17" s="5" t="str">
        <f>IF(OR(AND(H17&lt;&gt;"open",H17&lt;&gt;"partial"),G17&lt;=0),"n/a",IF(J17&lt;0,"current",IF(J17&lt;=30,"0-30",IF(J17&lt;=60,"31-60",IF(J17&lt;=90,"61-90","90+")))))</f>
        <v>n/a</v>
      </c>
      <c r="L17" s="12" t="s">
        <v>108</v>
      </c>
    </row>
    <row r="18" spans="1:12">
      <c r="A18" s="12" t="s">
        <v>109</v>
      </c>
      <c r="B18" s="5" t="s">
        <v>75</v>
      </c>
      <c r="C18" s="5" t="s">
        <v>66</v>
      </c>
      <c r="D18" s="12" t="s">
        <v>110</v>
      </c>
      <c r="E18" s="3">
        <v>45908</v>
      </c>
      <c r="F18" s="3">
        <v>45953</v>
      </c>
      <c r="G18" s="6">
        <v>35816.7</v>
      </c>
      <c r="H18" s="5" t="s">
        <v>68</v>
      </c>
      <c r="I18" s="3">
        <v>45955</v>
      </c>
      <c r="J18" s="8">
        <f>AS_OF-F18</f>
        <v>322</v>
      </c>
      <c r="K18" s="5" t="str">
        <f>IF(OR(AND(H18&lt;&gt;"open",H18&lt;&gt;"partial"),G18&lt;=0),"n/a",IF(J18&lt;0,"current",IF(J18&lt;=30,"0-30",IF(J18&lt;=60,"31-60",IF(J18&lt;=90,"61-90","90+")))))</f>
        <v>n/a</v>
      </c>
      <c r="L18" s="12" t="s">
        <v>111</v>
      </c>
    </row>
    <row r="19" spans="1:12">
      <c r="A19" s="12" t="s">
        <v>112</v>
      </c>
      <c r="B19" s="5" t="s">
        <v>79</v>
      </c>
      <c r="C19" s="5" t="s">
        <v>87</v>
      </c>
      <c r="D19" s="12" t="s">
        <v>80</v>
      </c>
      <c r="E19" s="3">
        <v>45921</v>
      </c>
      <c r="F19" s="3">
        <v>45966</v>
      </c>
      <c r="G19" s="6">
        <v>48674.4</v>
      </c>
      <c r="H19" s="5" t="s">
        <v>68</v>
      </c>
      <c r="I19" s="3">
        <v>45967</v>
      </c>
      <c r="J19" s="8">
        <f>AS_OF-F19</f>
        <v>309</v>
      </c>
      <c r="K19" s="5" t="str">
        <f>IF(OR(AND(H19&lt;&gt;"open",H19&lt;&gt;"partial"),G19&lt;=0),"n/a",IF(J19&lt;0,"current",IF(J19&lt;=30,"0-30",IF(J19&lt;=60,"31-60",IF(J19&lt;=90,"61-90","90+")))))</f>
        <v>n/a</v>
      </c>
      <c r="L19" s="12" t="s">
        <v>113</v>
      </c>
    </row>
    <row r="20" spans="1:12">
      <c r="A20" s="12" t="s">
        <v>114</v>
      </c>
      <c r="B20" s="5" t="s">
        <v>115</v>
      </c>
      <c r="C20" s="5" t="s">
        <v>66</v>
      </c>
      <c r="D20" s="12" t="s">
        <v>116</v>
      </c>
      <c r="E20" s="3">
        <v>45940</v>
      </c>
      <c r="F20" s="3">
        <v>45970</v>
      </c>
      <c r="G20" s="6">
        <v>24623.4</v>
      </c>
      <c r="H20" s="5" t="s">
        <v>68</v>
      </c>
      <c r="I20" s="3">
        <v>45971</v>
      </c>
      <c r="J20" s="8">
        <f>AS_OF-F20</f>
        <v>305</v>
      </c>
      <c r="K20" s="5" t="str">
        <f>IF(OR(AND(H20&lt;&gt;"open",H20&lt;&gt;"partial"),G20&lt;=0),"n/a",IF(J20&lt;0,"current",IF(J20&lt;=30,"0-30",IF(J20&lt;=60,"31-60",IF(J20&lt;=90,"61-90","90+")))))</f>
        <v>n/a</v>
      </c>
      <c r="L20" s="12" t="s">
        <v>117</v>
      </c>
    </row>
    <row r="21" spans="1:12">
      <c r="A21" s="12" t="s">
        <v>118</v>
      </c>
      <c r="B21" s="5" t="s">
        <v>119</v>
      </c>
      <c r="C21" s="5" t="s">
        <v>66</v>
      </c>
      <c r="D21" s="12" t="s">
        <v>120</v>
      </c>
      <c r="E21" s="3">
        <v>45942</v>
      </c>
      <c r="F21" s="3">
        <v>45972</v>
      </c>
      <c r="G21" s="6">
        <v>37200</v>
      </c>
      <c r="H21" s="5" t="s">
        <v>68</v>
      </c>
      <c r="I21" s="3">
        <v>45974</v>
      </c>
      <c r="J21" s="8">
        <f>AS_OF-F21</f>
        <v>303</v>
      </c>
      <c r="K21" s="5" t="str">
        <f>IF(OR(AND(H21&lt;&gt;"open",H21&lt;&gt;"partial"),G21&lt;=0),"n/a",IF(J21&lt;0,"current",IF(J21&lt;=30,"0-30",IF(J21&lt;=60,"31-60",IF(J21&lt;=90,"61-90","90+")))))</f>
        <v>n/a</v>
      </c>
      <c r="L21" s="12" t="s">
        <v>121</v>
      </c>
    </row>
    <row r="22" spans="1:12">
      <c r="A22" s="12" t="s">
        <v>122</v>
      </c>
      <c r="B22" s="5" t="s">
        <v>93</v>
      </c>
      <c r="C22" s="5" t="s">
        <v>87</v>
      </c>
      <c r="D22" s="12" t="s">
        <v>94</v>
      </c>
      <c r="E22" s="3">
        <v>45932</v>
      </c>
      <c r="F22" s="3">
        <v>45977</v>
      </c>
      <c r="G22" s="6">
        <v>58185.6</v>
      </c>
      <c r="H22" s="5" t="s">
        <v>68</v>
      </c>
      <c r="I22" s="3">
        <v>45978</v>
      </c>
      <c r="J22" s="8">
        <f>AS_OF-F22</f>
        <v>298</v>
      </c>
      <c r="K22" s="5" t="str">
        <f>IF(OR(AND(H22&lt;&gt;"open",H22&lt;&gt;"partial"),G22&lt;=0),"n/a",IF(J22&lt;0,"current",IF(J22&lt;=30,"0-30",IF(J22&lt;=60,"31-60",IF(J22&lt;=90,"61-90","90+")))))</f>
        <v>n/a</v>
      </c>
      <c r="L22" s="12" t="s">
        <v>123</v>
      </c>
    </row>
    <row r="23" spans="1:12">
      <c r="A23" s="12" t="s">
        <v>124</v>
      </c>
      <c r="B23" s="5" t="s">
        <v>83</v>
      </c>
      <c r="C23" s="5" t="s">
        <v>87</v>
      </c>
      <c r="D23" s="12" t="s">
        <v>84</v>
      </c>
      <c r="E23" s="3">
        <v>45937</v>
      </c>
      <c r="F23" s="3">
        <v>45982</v>
      </c>
      <c r="G23" s="6">
        <v>58529.4</v>
      </c>
      <c r="H23" s="5" t="s">
        <v>68</v>
      </c>
      <c r="I23" s="3">
        <v>45983</v>
      </c>
      <c r="J23" s="8">
        <f>AS_OF-F23</f>
        <v>293</v>
      </c>
      <c r="K23" s="5" t="str">
        <f>IF(OR(AND(H23&lt;&gt;"open",H23&lt;&gt;"partial"),G23&lt;=0),"n/a",IF(J23&lt;0,"current",IF(J23&lt;=30,"0-30",IF(J23&lt;=60,"31-60",IF(J23&lt;=90,"61-90","90+")))))</f>
        <v>n/a</v>
      </c>
      <c r="L23" s="12" t="s">
        <v>125</v>
      </c>
    </row>
    <row r="24" spans="1:12">
      <c r="A24" s="12" t="s">
        <v>126</v>
      </c>
      <c r="B24" s="5" t="s">
        <v>127</v>
      </c>
      <c r="C24" s="5" t="s">
        <v>66</v>
      </c>
      <c r="D24" s="12" t="s">
        <v>128</v>
      </c>
      <c r="E24" s="3">
        <v>45940</v>
      </c>
      <c r="F24" s="3">
        <v>45985</v>
      </c>
      <c r="G24" s="6">
        <v>27002.4</v>
      </c>
      <c r="H24" s="5" t="s">
        <v>68</v>
      </c>
      <c r="I24" s="3">
        <v>45986</v>
      </c>
      <c r="J24" s="8">
        <f>AS_OF-F24</f>
        <v>290</v>
      </c>
      <c r="K24" s="5" t="str">
        <f>IF(OR(AND(H24&lt;&gt;"open",H24&lt;&gt;"partial"),G24&lt;=0),"n/a",IF(J24&lt;0,"current",IF(J24&lt;=30,"0-30",IF(J24&lt;=60,"31-60",IF(J24&lt;=90,"61-90","90+")))))</f>
        <v>n/a</v>
      </c>
      <c r="L24" s="12" t="s">
        <v>129</v>
      </c>
    </row>
    <row r="25" spans="1:12">
      <c r="A25" s="12" t="s">
        <v>130</v>
      </c>
      <c r="B25" s="5" t="s">
        <v>83</v>
      </c>
      <c r="C25" s="5" t="s">
        <v>87</v>
      </c>
      <c r="D25" s="12" t="s">
        <v>107</v>
      </c>
      <c r="E25" s="3">
        <v>45950</v>
      </c>
      <c r="F25" s="3">
        <v>45995</v>
      </c>
      <c r="G25" s="6">
        <v>76780.5</v>
      </c>
      <c r="H25" s="5" t="s">
        <v>68</v>
      </c>
      <c r="I25" s="3">
        <v>45996</v>
      </c>
      <c r="J25" s="8">
        <f>AS_OF-F25</f>
        <v>280</v>
      </c>
      <c r="K25" s="5" t="str">
        <f>IF(OR(AND(H25&lt;&gt;"open",H25&lt;&gt;"partial"),G25&lt;=0),"n/a",IF(J25&lt;0,"current",IF(J25&lt;=30,"0-30",IF(J25&lt;=60,"31-60",IF(J25&lt;=90,"61-90","90+")))))</f>
        <v>n/a</v>
      </c>
      <c r="L25" s="12" t="s">
        <v>131</v>
      </c>
    </row>
    <row r="26" spans="1:12">
      <c r="A26" s="12" t="s">
        <v>132</v>
      </c>
      <c r="B26" s="5" t="s">
        <v>133</v>
      </c>
      <c r="C26" s="5" t="s">
        <v>66</v>
      </c>
      <c r="D26" s="12" t="s">
        <v>134</v>
      </c>
      <c r="E26" s="3">
        <v>45969</v>
      </c>
      <c r="F26" s="3">
        <v>45999</v>
      </c>
      <c r="G26" s="6">
        <v>28900.8</v>
      </c>
      <c r="H26" s="5" t="s">
        <v>68</v>
      </c>
      <c r="I26" s="3">
        <v>46000</v>
      </c>
      <c r="J26" s="8">
        <f>AS_OF-F26</f>
        <v>276</v>
      </c>
      <c r="K26" s="5" t="str">
        <f>IF(OR(AND(H26&lt;&gt;"open",H26&lt;&gt;"partial"),G26&lt;=0),"n/a",IF(J26&lt;0,"current",IF(J26&lt;=30,"0-30",IF(J26&lt;=60,"31-60",IF(J26&lt;=90,"61-90","90+")))))</f>
        <v>n/a</v>
      </c>
      <c r="L26" s="12" t="s">
        <v>135</v>
      </c>
    </row>
    <row r="27" spans="1:12">
      <c r="A27" s="12" t="s">
        <v>136</v>
      </c>
      <c r="B27" s="5" t="s">
        <v>79</v>
      </c>
      <c r="C27" s="5" t="s">
        <v>87</v>
      </c>
      <c r="D27" s="12" t="s">
        <v>97</v>
      </c>
      <c r="E27" s="3">
        <v>45955</v>
      </c>
      <c r="F27" s="3">
        <v>46000</v>
      </c>
      <c r="G27" s="6">
        <v>116479.8</v>
      </c>
      <c r="H27" s="5" t="s">
        <v>68</v>
      </c>
      <c r="I27" s="3">
        <v>46001</v>
      </c>
      <c r="J27" s="8">
        <f>AS_OF-F27</f>
        <v>275</v>
      </c>
      <c r="K27" s="5" t="str">
        <f>IF(OR(AND(H27&lt;&gt;"open",H27&lt;&gt;"partial"),G27&lt;=0),"n/a",IF(J27&lt;0,"current",IF(J27&lt;=30,"0-30",IF(J27&lt;=60,"31-60",IF(J27&lt;=90,"61-90","90+")))))</f>
        <v>n/a</v>
      </c>
      <c r="L27" s="12" t="s">
        <v>137</v>
      </c>
    </row>
    <row r="28" spans="1:12">
      <c r="A28" s="12" t="s">
        <v>138</v>
      </c>
      <c r="B28" s="5" t="s">
        <v>119</v>
      </c>
      <c r="C28" s="5" t="s">
        <v>66</v>
      </c>
      <c r="D28" s="12" t="s">
        <v>139</v>
      </c>
      <c r="E28" s="3">
        <v>45955</v>
      </c>
      <c r="F28" s="3">
        <v>46000</v>
      </c>
      <c r="G28" s="6">
        <v>29612.4</v>
      </c>
      <c r="H28" s="5" t="s">
        <v>68</v>
      </c>
      <c r="I28" s="3">
        <v>46001</v>
      </c>
      <c r="J28" s="8">
        <f>AS_OF-F28</f>
        <v>275</v>
      </c>
      <c r="K28" s="5" t="str">
        <f>IF(OR(AND(H28&lt;&gt;"open",H28&lt;&gt;"partial"),G28&lt;=0),"n/a",IF(J28&lt;0,"current",IF(J28&lt;=30,"0-30",IF(J28&lt;=60,"31-60",IF(J28&lt;=90,"61-90","90+")))))</f>
        <v>n/a</v>
      </c>
      <c r="L28" s="12" t="s">
        <v>140</v>
      </c>
    </row>
    <row r="29" spans="1:12">
      <c r="A29" s="12" t="s">
        <v>141</v>
      </c>
      <c r="B29" s="5" t="s">
        <v>83</v>
      </c>
      <c r="C29" s="5" t="s">
        <v>87</v>
      </c>
      <c r="D29" s="12" t="s">
        <v>100</v>
      </c>
      <c r="E29" s="3">
        <v>45977</v>
      </c>
      <c r="F29" s="3">
        <v>46007</v>
      </c>
      <c r="G29" s="6">
        <v>35516.7</v>
      </c>
      <c r="H29" s="5" t="s">
        <v>68</v>
      </c>
      <c r="I29" s="3">
        <v>46009</v>
      </c>
      <c r="J29" s="8">
        <f>AS_OF-F29</f>
        <v>268</v>
      </c>
      <c r="K29" s="5" t="str">
        <f>IF(OR(AND(H29&lt;&gt;"open",H29&lt;&gt;"partial"),G29&lt;=0),"n/a",IF(J29&lt;0,"current",IF(J29&lt;=30,"0-30",IF(J29&lt;=60,"31-60",IF(J29&lt;=90,"61-90","90+")))))</f>
        <v>n/a</v>
      </c>
      <c r="L29" s="12" t="s">
        <v>142</v>
      </c>
    </row>
    <row r="30" spans="1:12">
      <c r="A30" s="12" t="s">
        <v>143</v>
      </c>
      <c r="B30" s="5" t="s">
        <v>75</v>
      </c>
      <c r="C30" s="5" t="s">
        <v>87</v>
      </c>
      <c r="D30" s="12" t="s">
        <v>110</v>
      </c>
      <c r="E30" s="3">
        <v>45971</v>
      </c>
      <c r="F30" s="3">
        <v>46016</v>
      </c>
      <c r="G30" s="6">
        <v>64791.9</v>
      </c>
      <c r="H30" s="5" t="s">
        <v>68</v>
      </c>
      <c r="I30" s="3">
        <v>46017</v>
      </c>
      <c r="J30" s="8">
        <f>AS_OF-F30</f>
        <v>259</v>
      </c>
      <c r="K30" s="5" t="str">
        <f>IF(OR(AND(H30&lt;&gt;"open",H30&lt;&gt;"partial"),G30&lt;=0),"n/a",IF(J30&lt;0,"current",IF(J30&lt;=30,"0-30",IF(J30&lt;=60,"31-60",IF(J30&lt;=90,"61-90","90+")))))</f>
        <v>n/a</v>
      </c>
      <c r="L30" s="12" t="s">
        <v>144</v>
      </c>
    </row>
    <row r="31" spans="1:12">
      <c r="A31" s="12" t="s">
        <v>145</v>
      </c>
      <c r="B31" s="5" t="s">
        <v>115</v>
      </c>
      <c r="C31" s="5" t="s">
        <v>66</v>
      </c>
      <c r="D31" s="12" t="s">
        <v>146</v>
      </c>
      <c r="E31" s="3">
        <v>45989</v>
      </c>
      <c r="F31" s="3">
        <v>46019</v>
      </c>
      <c r="G31" s="6">
        <v>31556.4</v>
      </c>
      <c r="H31" s="5" t="s">
        <v>68</v>
      </c>
      <c r="I31" s="3">
        <v>46020</v>
      </c>
      <c r="J31" s="8">
        <f>AS_OF-F31</f>
        <v>256</v>
      </c>
      <c r="K31" s="5" t="str">
        <f>IF(OR(AND(H31&lt;&gt;"open",H31&lt;&gt;"partial"),G31&lt;=0),"n/a",IF(J31&lt;0,"current",IF(J31&lt;=30,"0-30",IF(J31&lt;=60,"31-60",IF(J31&lt;=90,"61-90","90+")))))</f>
        <v>n/a</v>
      </c>
      <c r="L31" s="12" t="s">
        <v>147</v>
      </c>
    </row>
    <row r="32" spans="1:12">
      <c r="A32" s="12" t="s">
        <v>148</v>
      </c>
      <c r="B32" s="5" t="s">
        <v>75</v>
      </c>
      <c r="C32" s="5" t="s">
        <v>90</v>
      </c>
      <c r="D32" s="12" t="s">
        <v>110</v>
      </c>
      <c r="E32" s="3">
        <v>45974</v>
      </c>
      <c r="F32" s="3">
        <v>46019</v>
      </c>
      <c r="G32" s="6">
        <v>-874.5</v>
      </c>
      <c r="H32" s="5" t="s">
        <v>149</v>
      </c>
      <c r="I32" s="5" t="s">
        <v>150</v>
      </c>
      <c r="J32" s="8">
        <f>AS_OF-F32</f>
        <v>256</v>
      </c>
      <c r="K32" s="5" t="str">
        <f>IF(OR(AND(H32&lt;&gt;"open",H32&lt;&gt;"partial"),G32&lt;=0),"n/a",IF(J32&lt;0,"current",IF(J32&lt;=30,"0-30",IF(J32&lt;=60,"31-60",IF(J32&lt;=90,"61-90","90+")))))</f>
        <v>n/a</v>
      </c>
      <c r="L32" s="12" t="s">
        <v>151</v>
      </c>
    </row>
    <row r="33" spans="1:12">
      <c r="A33" s="12" t="s">
        <v>152</v>
      </c>
      <c r="B33" s="5" t="s">
        <v>71</v>
      </c>
      <c r="C33" s="5" t="s">
        <v>66</v>
      </c>
      <c r="D33" s="12" t="s">
        <v>153</v>
      </c>
      <c r="E33" s="3">
        <v>45976</v>
      </c>
      <c r="F33" s="3">
        <v>46021</v>
      </c>
      <c r="G33" s="6">
        <v>27615.6</v>
      </c>
      <c r="H33" s="5" t="s">
        <v>68</v>
      </c>
      <c r="I33" s="3">
        <v>46023</v>
      </c>
      <c r="J33" s="8">
        <f>AS_OF-F33</f>
        <v>254</v>
      </c>
      <c r="K33" s="5" t="str">
        <f>IF(OR(AND(H33&lt;&gt;"open",H33&lt;&gt;"partial"),G33&lt;=0),"n/a",IF(J33&lt;0,"current",IF(J33&lt;=30,"0-30",IF(J33&lt;=60,"31-60",IF(J33&lt;=90,"61-90","90+")))))</f>
        <v>n/a</v>
      </c>
      <c r="L33" s="12" t="s">
        <v>154</v>
      </c>
    </row>
    <row r="34" spans="1:12">
      <c r="A34" s="12" t="s">
        <v>155</v>
      </c>
      <c r="B34" s="5" t="s">
        <v>75</v>
      </c>
      <c r="C34" s="5" t="s">
        <v>90</v>
      </c>
      <c r="D34" s="12" t="s">
        <v>110</v>
      </c>
      <c r="E34" s="3">
        <v>45985</v>
      </c>
      <c r="F34" s="3">
        <v>46030</v>
      </c>
      <c r="G34" s="6">
        <v>46807.44</v>
      </c>
      <c r="H34" s="5" t="s">
        <v>68</v>
      </c>
      <c r="I34" s="3">
        <v>46031</v>
      </c>
      <c r="J34" s="8">
        <f>AS_OF-F34</f>
        <v>245</v>
      </c>
      <c r="K34" s="5" t="str">
        <f>IF(OR(AND(H34&lt;&gt;"open",H34&lt;&gt;"partial"),G34&lt;=0),"n/a",IF(J34&lt;0,"current",IF(J34&lt;=30,"0-30",IF(J34&lt;=60,"31-60",IF(J34&lt;=90,"61-90","90+")))))</f>
        <v>n/a</v>
      </c>
      <c r="L34" s="12" t="s">
        <v>156</v>
      </c>
    </row>
    <row r="35" spans="1:12">
      <c r="A35" s="12" t="s">
        <v>157</v>
      </c>
      <c r="B35" s="5" t="s">
        <v>119</v>
      </c>
      <c r="C35" s="5" t="s">
        <v>87</v>
      </c>
      <c r="D35" s="12" t="s">
        <v>120</v>
      </c>
      <c r="E35" s="3">
        <v>46003</v>
      </c>
      <c r="F35" s="3">
        <v>46033</v>
      </c>
      <c r="G35" s="6">
        <v>102513.6</v>
      </c>
      <c r="H35" s="5" t="s">
        <v>68</v>
      </c>
      <c r="I35" s="3">
        <v>46034</v>
      </c>
      <c r="J35" s="8">
        <f>AS_OF-F35</f>
        <v>242</v>
      </c>
      <c r="K35" s="5" t="str">
        <f>IF(OR(AND(H35&lt;&gt;"open",H35&lt;&gt;"partial"),G35&lt;=0),"n/a",IF(J35&lt;0,"current",IF(J35&lt;=30,"0-30",IF(J35&lt;=60,"31-60",IF(J35&lt;=90,"61-90","90+")))))</f>
        <v>n/a</v>
      </c>
      <c r="L35" s="12" t="s">
        <v>158</v>
      </c>
    </row>
    <row r="36" spans="1:12">
      <c r="A36" s="12" t="s">
        <v>159</v>
      </c>
      <c r="B36" s="5" t="s">
        <v>127</v>
      </c>
      <c r="C36" s="5" t="s">
        <v>87</v>
      </c>
      <c r="D36" s="12" t="s">
        <v>128</v>
      </c>
      <c r="E36" s="3">
        <v>45992</v>
      </c>
      <c r="F36" s="3">
        <v>46037</v>
      </c>
      <c r="G36" s="6">
        <v>50452.2</v>
      </c>
      <c r="H36" s="5" t="s">
        <v>68</v>
      </c>
      <c r="I36" s="3">
        <v>46038</v>
      </c>
      <c r="J36" s="8">
        <f>AS_OF-F36</f>
        <v>238</v>
      </c>
      <c r="K36" s="5" t="str">
        <f>IF(OR(AND(H36&lt;&gt;"open",H36&lt;&gt;"partial"),G36&lt;=0),"n/a",IF(J36&lt;0,"current",IF(J36&lt;=30,"0-30",IF(J36&lt;=60,"31-60",IF(J36&lt;=90,"61-90","90+")))))</f>
        <v>n/a</v>
      </c>
      <c r="L36" s="12" t="s">
        <v>160</v>
      </c>
    </row>
    <row r="37" spans="1:12">
      <c r="A37" s="12" t="s">
        <v>161</v>
      </c>
      <c r="B37" s="5" t="s">
        <v>115</v>
      </c>
      <c r="C37" s="5" t="s">
        <v>66</v>
      </c>
      <c r="D37" s="12" t="s">
        <v>162</v>
      </c>
      <c r="E37" s="3">
        <v>46008</v>
      </c>
      <c r="F37" s="3">
        <v>46038</v>
      </c>
      <c r="G37" s="6">
        <v>24759.6</v>
      </c>
      <c r="H37" s="5" t="s">
        <v>68</v>
      </c>
      <c r="I37" s="3">
        <v>46040</v>
      </c>
      <c r="J37" s="8">
        <f>AS_OF-F37</f>
        <v>237</v>
      </c>
      <c r="K37" s="5" t="str">
        <f>IF(OR(AND(H37&lt;&gt;"open",H37&lt;&gt;"partial"),G37&lt;=0),"n/a",IF(J37&lt;0,"current",IF(J37&lt;=30,"0-30",IF(J37&lt;=60,"31-60",IF(J37&lt;=90,"61-90","90+")))))</f>
        <v>n/a</v>
      </c>
      <c r="L37" s="12" t="s">
        <v>163</v>
      </c>
    </row>
    <row r="38" spans="1:12">
      <c r="A38" s="12" t="s">
        <v>164</v>
      </c>
      <c r="B38" s="5" t="s">
        <v>115</v>
      </c>
      <c r="C38" s="5" t="s">
        <v>87</v>
      </c>
      <c r="D38" s="12" t="s">
        <v>116</v>
      </c>
      <c r="E38" s="3">
        <v>46010</v>
      </c>
      <c r="F38" s="3">
        <v>46040</v>
      </c>
      <c r="G38" s="6">
        <v>49265.4</v>
      </c>
      <c r="H38" s="5" t="s">
        <v>68</v>
      </c>
      <c r="I38" s="3">
        <v>46042</v>
      </c>
      <c r="J38" s="8">
        <f>AS_OF-F38</f>
        <v>235</v>
      </c>
      <c r="K38" s="5" t="str">
        <f>IF(OR(AND(H38&lt;&gt;"open",H38&lt;&gt;"partial"),G38&lt;=0),"n/a",IF(J38&lt;0,"current",IF(J38&lt;=30,"0-30",IF(J38&lt;=60,"31-60",IF(J38&lt;=90,"61-90","90+")))))</f>
        <v>n/a</v>
      </c>
      <c r="L38" s="12" t="s">
        <v>165</v>
      </c>
    </row>
    <row r="39" spans="1:12">
      <c r="A39" s="12" t="s">
        <v>166</v>
      </c>
      <c r="B39" s="5" t="s">
        <v>65</v>
      </c>
      <c r="C39" s="5" t="s">
        <v>66</v>
      </c>
      <c r="D39" s="12" t="s">
        <v>167</v>
      </c>
      <c r="E39" s="3">
        <v>46010</v>
      </c>
      <c r="F39" s="3">
        <v>46040</v>
      </c>
      <c r="G39" s="6">
        <v>100852.8</v>
      </c>
      <c r="H39" s="5" t="s">
        <v>68</v>
      </c>
      <c r="I39" s="3">
        <v>46041</v>
      </c>
      <c r="J39" s="8">
        <f>AS_OF-F39</f>
        <v>235</v>
      </c>
      <c r="K39" s="5" t="str">
        <f>IF(OR(AND(H39&lt;&gt;"open",H39&lt;&gt;"partial"),G39&lt;=0),"n/a",IF(J39&lt;0,"current",IF(J39&lt;=30,"0-30",IF(J39&lt;=60,"31-60",IF(J39&lt;=90,"61-90","90+")))))</f>
        <v>n/a</v>
      </c>
      <c r="L39" s="12" t="s">
        <v>168</v>
      </c>
    </row>
    <row r="40" spans="1:12">
      <c r="A40" s="12" t="s">
        <v>169</v>
      </c>
      <c r="B40" s="5" t="s">
        <v>133</v>
      </c>
      <c r="C40" s="5" t="s">
        <v>87</v>
      </c>
      <c r="D40" s="12" t="s">
        <v>134</v>
      </c>
      <c r="E40" s="3">
        <v>46024</v>
      </c>
      <c r="F40" s="3">
        <v>46054</v>
      </c>
      <c r="G40" s="6">
        <v>55631.7</v>
      </c>
      <c r="H40" s="5" t="s">
        <v>68</v>
      </c>
      <c r="I40" s="3">
        <v>46056</v>
      </c>
      <c r="J40" s="8">
        <f>AS_OF-F40</f>
        <v>221</v>
      </c>
      <c r="K40" s="5" t="str">
        <f>IF(OR(AND(H40&lt;&gt;"open",H40&lt;&gt;"partial"),G40&lt;=0),"n/a",IF(J40&lt;0,"current",IF(J40&lt;=30,"0-30",IF(J40&lt;=60,"31-60",IF(J40&lt;=90,"61-90","90+")))))</f>
        <v>n/a</v>
      </c>
      <c r="L40" s="12" t="s">
        <v>170</v>
      </c>
    </row>
    <row r="41" spans="1:12">
      <c r="A41" s="12" t="s">
        <v>171</v>
      </c>
      <c r="B41" s="5" t="s">
        <v>133</v>
      </c>
      <c r="C41" s="5" t="s">
        <v>90</v>
      </c>
      <c r="D41" s="12" t="s">
        <v>134</v>
      </c>
      <c r="E41" s="3">
        <v>46029</v>
      </c>
      <c r="F41" s="3">
        <v>46059</v>
      </c>
      <c r="G41" s="6">
        <v>24003.96</v>
      </c>
      <c r="H41" s="5" t="s">
        <v>68</v>
      </c>
      <c r="I41" s="3">
        <v>46059</v>
      </c>
      <c r="J41" s="8">
        <f>AS_OF-F41</f>
        <v>216</v>
      </c>
      <c r="K41" s="5" t="str">
        <f>IF(OR(AND(H41&lt;&gt;"open",H41&lt;&gt;"partial"),G41&lt;=0),"n/a",IF(J41&lt;0,"current",IF(J41&lt;=30,"0-30",IF(J41&lt;=60,"31-60",IF(J41&lt;=90,"61-90","90+")))))</f>
        <v>n/a</v>
      </c>
      <c r="L41" s="12" t="s">
        <v>172</v>
      </c>
    </row>
    <row r="42" spans="1:12">
      <c r="A42" s="12" t="s">
        <v>173</v>
      </c>
      <c r="B42" s="5" t="s">
        <v>75</v>
      </c>
      <c r="C42" s="5" t="s">
        <v>66</v>
      </c>
      <c r="D42" s="12" t="s">
        <v>174</v>
      </c>
      <c r="E42" s="3">
        <v>46032</v>
      </c>
      <c r="F42" s="3">
        <v>46062</v>
      </c>
      <c r="G42" s="6">
        <v>43358.7</v>
      </c>
      <c r="H42" s="5" t="s">
        <v>68</v>
      </c>
      <c r="I42" s="3">
        <v>46063</v>
      </c>
      <c r="J42" s="8">
        <f>AS_OF-F42</f>
        <v>213</v>
      </c>
      <c r="K42" s="5" t="str">
        <f>IF(OR(AND(H42&lt;&gt;"open",H42&lt;&gt;"partial"),G42&lt;=0),"n/a",IF(J42&lt;0,"current",IF(J42&lt;=30,"0-30",IF(J42&lt;=60,"31-60",IF(J42&lt;=90,"61-90","90+")))))</f>
        <v>n/a</v>
      </c>
      <c r="L42" s="12" t="s">
        <v>175</v>
      </c>
    </row>
    <row r="43" spans="1:12">
      <c r="A43" s="12" t="s">
        <v>176</v>
      </c>
      <c r="B43" s="5" t="s">
        <v>119</v>
      </c>
      <c r="C43" s="5" t="s">
        <v>87</v>
      </c>
      <c r="D43" s="12" t="s">
        <v>139</v>
      </c>
      <c r="E43" s="3">
        <v>46020</v>
      </c>
      <c r="F43" s="3">
        <v>46065</v>
      </c>
      <c r="G43" s="6">
        <v>54693.9</v>
      </c>
      <c r="H43" s="5" t="s">
        <v>68</v>
      </c>
      <c r="I43" s="3">
        <v>46066</v>
      </c>
      <c r="J43" s="8">
        <f>AS_OF-F43</f>
        <v>210</v>
      </c>
      <c r="K43" s="5" t="str">
        <f>IF(OR(AND(H43&lt;&gt;"open",H43&lt;&gt;"partial"),G43&lt;=0),"n/a",IF(J43&lt;0,"current",IF(J43&lt;=30,"0-30",IF(J43&lt;=60,"31-60",IF(J43&lt;=90,"61-90","90+")))))</f>
        <v>n/a</v>
      </c>
      <c r="L43" s="12" t="s">
        <v>177</v>
      </c>
    </row>
    <row r="44" spans="1:12">
      <c r="A44" s="12" t="s">
        <v>178</v>
      </c>
      <c r="B44" s="5" t="s">
        <v>179</v>
      </c>
      <c r="C44" s="5" t="s">
        <v>66</v>
      </c>
      <c r="D44" s="12" t="s">
        <v>180</v>
      </c>
      <c r="E44" s="3">
        <v>46038</v>
      </c>
      <c r="F44" s="3">
        <v>46068</v>
      </c>
      <c r="G44" s="6">
        <v>57547.2</v>
      </c>
      <c r="H44" s="5" t="s">
        <v>68</v>
      </c>
      <c r="I44" s="3">
        <v>46069</v>
      </c>
      <c r="J44" s="8">
        <f>AS_OF-F44</f>
        <v>207</v>
      </c>
      <c r="K44" s="5" t="str">
        <f>IF(OR(AND(H44&lt;&gt;"open",H44&lt;&gt;"partial"),G44&lt;=0),"n/a",IF(J44&lt;0,"current",IF(J44&lt;=30,"0-30",IF(J44&lt;=60,"31-60",IF(J44&lt;=90,"61-90","90+")))))</f>
        <v>n/a</v>
      </c>
      <c r="L44" s="12" t="s">
        <v>181</v>
      </c>
    </row>
    <row r="45" spans="1:12">
      <c r="A45" s="12" t="s">
        <v>182</v>
      </c>
      <c r="B45" s="5" t="s">
        <v>115</v>
      </c>
      <c r="C45" s="5" t="s">
        <v>87</v>
      </c>
      <c r="D45" s="12" t="s">
        <v>146</v>
      </c>
      <c r="E45" s="3">
        <v>46041</v>
      </c>
      <c r="F45" s="3">
        <v>46071</v>
      </c>
      <c r="G45" s="6">
        <v>87720</v>
      </c>
      <c r="H45" s="5" t="s">
        <v>68</v>
      </c>
      <c r="I45" s="3">
        <v>46071</v>
      </c>
      <c r="J45" s="8">
        <f>AS_OF-F45</f>
        <v>204</v>
      </c>
      <c r="K45" s="5" t="str">
        <f>IF(OR(AND(H45&lt;&gt;"open",H45&lt;&gt;"partial"),G45&lt;=0),"n/a",IF(J45&lt;0,"current",IF(J45&lt;=30,"0-30",IF(J45&lt;=60,"31-60",IF(J45&lt;=90,"61-90","90+")))))</f>
        <v>n/a</v>
      </c>
      <c r="L45" s="12" t="s">
        <v>183</v>
      </c>
    </row>
    <row r="46" spans="1:12">
      <c r="A46" s="12" t="s">
        <v>184</v>
      </c>
      <c r="B46" s="5" t="s">
        <v>75</v>
      </c>
      <c r="C46" s="5" t="s">
        <v>66</v>
      </c>
      <c r="D46" s="12" t="s">
        <v>185</v>
      </c>
      <c r="E46" s="3">
        <v>46026</v>
      </c>
      <c r="F46" s="3">
        <v>46071</v>
      </c>
      <c r="G46" s="6">
        <v>34100.4</v>
      </c>
      <c r="H46" s="5" t="s">
        <v>68</v>
      </c>
      <c r="I46" s="3">
        <v>46072</v>
      </c>
      <c r="J46" s="8">
        <f>AS_OF-F46</f>
        <v>204</v>
      </c>
      <c r="K46" s="5" t="str">
        <f>IF(OR(AND(H46&lt;&gt;"open",H46&lt;&gt;"partial"),G46&lt;=0),"n/a",IF(J46&lt;0,"current",IF(J46&lt;=30,"0-30",IF(J46&lt;=60,"31-60",IF(J46&lt;=90,"61-90","90+")))))</f>
        <v>n/a</v>
      </c>
      <c r="L46" s="12" t="s">
        <v>186</v>
      </c>
    </row>
    <row r="47" spans="1:12">
      <c r="A47" s="12" t="s">
        <v>187</v>
      </c>
      <c r="B47" s="5" t="s">
        <v>79</v>
      </c>
      <c r="C47" s="5" t="s">
        <v>66</v>
      </c>
      <c r="D47" s="12" t="s">
        <v>188</v>
      </c>
      <c r="E47" s="3">
        <v>46027</v>
      </c>
      <c r="F47" s="3">
        <v>46072</v>
      </c>
      <c r="G47" s="6">
        <v>28707</v>
      </c>
      <c r="H47" s="5" t="s">
        <v>68</v>
      </c>
      <c r="I47" s="3">
        <v>46073</v>
      </c>
      <c r="J47" s="8">
        <f>AS_OF-F47</f>
        <v>203</v>
      </c>
      <c r="K47" s="5" t="str">
        <f>IF(OR(AND(H47&lt;&gt;"open",H47&lt;&gt;"partial"),G47&lt;=0),"n/a",IF(J47&lt;0,"current",IF(J47&lt;=30,"0-30",IF(J47&lt;=60,"31-60",IF(J47&lt;=90,"61-90","90+")))))</f>
        <v>n/a</v>
      </c>
      <c r="L47" s="12" t="s">
        <v>189</v>
      </c>
    </row>
    <row r="48" spans="1:12">
      <c r="A48" s="12" t="s">
        <v>190</v>
      </c>
      <c r="B48" s="5" t="s">
        <v>115</v>
      </c>
      <c r="C48" s="5" t="s">
        <v>90</v>
      </c>
      <c r="D48" s="12" t="s">
        <v>146</v>
      </c>
      <c r="E48" s="3">
        <v>46042</v>
      </c>
      <c r="F48" s="3">
        <v>46072</v>
      </c>
      <c r="G48" s="6">
        <v>23281.56</v>
      </c>
      <c r="H48" s="5" t="s">
        <v>68</v>
      </c>
      <c r="I48" s="3">
        <v>46073</v>
      </c>
      <c r="J48" s="8">
        <f>AS_OF-F48</f>
        <v>203</v>
      </c>
      <c r="K48" s="5" t="str">
        <f>IF(OR(AND(H48&lt;&gt;"open",H48&lt;&gt;"partial"),G48&lt;=0),"n/a",IF(J48&lt;0,"current",IF(J48&lt;=30,"0-30",IF(J48&lt;=60,"31-60",IF(J48&lt;=90,"61-90","90+")))))</f>
        <v>n/a</v>
      </c>
      <c r="L48" s="12" t="s">
        <v>191</v>
      </c>
    </row>
    <row r="49" spans="1:12">
      <c r="A49" s="12" t="s">
        <v>192</v>
      </c>
      <c r="B49" s="5" t="s">
        <v>115</v>
      </c>
      <c r="C49" s="5" t="s">
        <v>87</v>
      </c>
      <c r="D49" s="12" t="s">
        <v>162</v>
      </c>
      <c r="E49" s="3">
        <v>46053</v>
      </c>
      <c r="F49" s="3">
        <v>46083</v>
      </c>
      <c r="G49" s="6">
        <v>29335.8</v>
      </c>
      <c r="H49" s="5" t="s">
        <v>68</v>
      </c>
      <c r="I49" s="3">
        <v>46084</v>
      </c>
      <c r="J49" s="8">
        <f>AS_OF-F49</f>
        <v>192</v>
      </c>
      <c r="K49" s="5" t="str">
        <f>IF(OR(AND(H49&lt;&gt;"open",H49&lt;&gt;"partial"),G49&lt;=0),"n/a",IF(J49&lt;0,"current",IF(J49&lt;=30,"0-30",IF(J49&lt;=60,"31-60",IF(J49&lt;=90,"61-90","90+")))))</f>
        <v>n/a</v>
      </c>
      <c r="L49" s="12" t="s">
        <v>193</v>
      </c>
    </row>
    <row r="50" spans="1:12">
      <c r="A50" s="12" t="s">
        <v>194</v>
      </c>
      <c r="B50" s="5" t="s">
        <v>71</v>
      </c>
      <c r="C50" s="5" t="s">
        <v>87</v>
      </c>
      <c r="D50" s="12" t="s">
        <v>153</v>
      </c>
      <c r="E50" s="3">
        <v>46046</v>
      </c>
      <c r="F50" s="3">
        <v>46091</v>
      </c>
      <c r="G50" s="6">
        <v>59297.4</v>
      </c>
      <c r="H50" s="5" t="s">
        <v>68</v>
      </c>
      <c r="I50" s="3">
        <v>46092</v>
      </c>
      <c r="J50" s="8">
        <f>AS_OF-F50</f>
        <v>184</v>
      </c>
      <c r="K50" s="5" t="str">
        <f>IF(OR(AND(H50&lt;&gt;"open",H50&lt;&gt;"partial"),G50&lt;=0),"n/a",IF(J50&lt;0,"current",IF(J50&lt;=30,"0-30",IF(J50&lt;=60,"31-60",IF(J50&lt;=90,"61-90","90+")))))</f>
        <v>n/a</v>
      </c>
      <c r="L50" s="12" t="s">
        <v>195</v>
      </c>
    </row>
    <row r="51" spans="1:12">
      <c r="A51" s="12" t="s">
        <v>196</v>
      </c>
      <c r="B51" s="5" t="s">
        <v>79</v>
      </c>
      <c r="C51" s="5" t="s">
        <v>66</v>
      </c>
      <c r="D51" s="12" t="s">
        <v>197</v>
      </c>
      <c r="E51" s="3">
        <v>46067</v>
      </c>
      <c r="F51" s="3">
        <v>46097</v>
      </c>
      <c r="G51" s="6">
        <v>37491</v>
      </c>
      <c r="H51" s="5" t="s">
        <v>198</v>
      </c>
      <c r="I51" s="5" t="s">
        <v>150</v>
      </c>
      <c r="J51" s="8">
        <f>AS_OF-F51</f>
        <v>178</v>
      </c>
      <c r="K51" s="5" t="str">
        <f>IF(OR(AND(H51&lt;&gt;"open",H51&lt;&gt;"partial"),G51&lt;=0),"n/a",IF(J51&lt;0,"current",IF(J51&lt;=30,"0-30",IF(J51&lt;=60,"31-60",IF(J51&lt;=90,"61-90","90+")))))</f>
        <v>90+</v>
      </c>
      <c r="L51" s="12" t="s">
        <v>199</v>
      </c>
    </row>
    <row r="52" spans="1:12">
      <c r="A52" s="12" t="s">
        <v>200</v>
      </c>
      <c r="B52" s="5" t="s">
        <v>115</v>
      </c>
      <c r="C52" s="5" t="s">
        <v>66</v>
      </c>
      <c r="D52" s="12" t="s">
        <v>201</v>
      </c>
      <c r="E52" s="3">
        <v>46068</v>
      </c>
      <c r="F52" s="3">
        <v>46098</v>
      </c>
      <c r="G52" s="6">
        <v>29055.9</v>
      </c>
      <c r="H52" s="5" t="s">
        <v>68</v>
      </c>
      <c r="I52" s="3">
        <v>46099</v>
      </c>
      <c r="J52" s="8">
        <f>AS_OF-F52</f>
        <v>177</v>
      </c>
      <c r="K52" s="5" t="str">
        <f>IF(OR(AND(H52&lt;&gt;"open",H52&lt;&gt;"partial"),G52&lt;=0),"n/a",IF(J52&lt;0,"current",IF(J52&lt;=30,"0-30",IF(J52&lt;=60,"31-60",IF(J52&lt;=90,"61-90","90+")))))</f>
        <v>n/a</v>
      </c>
      <c r="L52" s="12" t="s">
        <v>202</v>
      </c>
    </row>
    <row r="53" spans="1:12">
      <c r="A53" s="12" t="s">
        <v>203</v>
      </c>
      <c r="B53" s="5" t="s">
        <v>65</v>
      </c>
      <c r="C53" s="5" t="s">
        <v>87</v>
      </c>
      <c r="D53" s="12" t="s">
        <v>167</v>
      </c>
      <c r="E53" s="3">
        <v>46072</v>
      </c>
      <c r="F53" s="3">
        <v>46102</v>
      </c>
      <c r="G53" s="6">
        <v>105187.2</v>
      </c>
      <c r="H53" s="5" t="s">
        <v>68</v>
      </c>
      <c r="I53" s="3">
        <v>46104</v>
      </c>
      <c r="J53" s="8">
        <f>AS_OF-F53</f>
        <v>173</v>
      </c>
      <c r="K53" s="5" t="str">
        <f>IF(OR(AND(H53&lt;&gt;"open",H53&lt;&gt;"partial"),G53&lt;=0),"n/a",IF(J53&lt;0,"current",IF(J53&lt;=30,"0-30",IF(J53&lt;=60,"31-60",IF(J53&lt;=90,"61-90","90+")))))</f>
        <v>n/a</v>
      </c>
      <c r="L53" s="12" t="s">
        <v>204</v>
      </c>
    </row>
    <row r="54" spans="1:12">
      <c r="A54" s="12" t="s">
        <v>205</v>
      </c>
      <c r="B54" s="5" t="s">
        <v>65</v>
      </c>
      <c r="C54" s="5" t="s">
        <v>90</v>
      </c>
      <c r="D54" s="12" t="s">
        <v>167</v>
      </c>
      <c r="E54" s="3">
        <v>46075</v>
      </c>
      <c r="F54" s="3">
        <v>46105</v>
      </c>
      <c r="G54" s="6">
        <v>10481.28</v>
      </c>
      <c r="H54" s="5" t="s">
        <v>68</v>
      </c>
      <c r="I54" s="3">
        <v>46108</v>
      </c>
      <c r="J54" s="8">
        <f>AS_OF-F54</f>
        <v>170</v>
      </c>
      <c r="K54" s="5" t="str">
        <f>IF(OR(AND(H54&lt;&gt;"open",H54&lt;&gt;"partial"),G54&lt;=0),"n/a",IF(J54&lt;0,"current",IF(J54&lt;=30,"0-30",IF(J54&lt;=60,"31-60",IF(J54&lt;=90,"61-90","90+")))))</f>
        <v>n/a</v>
      </c>
      <c r="L54" s="12" t="s">
        <v>206</v>
      </c>
    </row>
    <row r="55" spans="1:12">
      <c r="A55" s="12" t="s">
        <v>207</v>
      </c>
      <c r="B55" s="5" t="s">
        <v>75</v>
      </c>
      <c r="C55" s="5" t="s">
        <v>87</v>
      </c>
      <c r="D55" s="12" t="s">
        <v>185</v>
      </c>
      <c r="E55" s="3">
        <v>46073</v>
      </c>
      <c r="F55" s="3">
        <v>46118</v>
      </c>
      <c r="G55" s="6">
        <v>57361.8</v>
      </c>
      <c r="H55" s="5" t="s">
        <v>198</v>
      </c>
      <c r="I55" s="5" t="s">
        <v>150</v>
      </c>
      <c r="J55" s="8">
        <f>AS_OF-F55</f>
        <v>157</v>
      </c>
      <c r="K55" s="5" t="str">
        <f>IF(OR(AND(H55&lt;&gt;"open",H55&lt;&gt;"partial"),G55&lt;=0),"n/a",IF(J55&lt;0,"current",IF(J55&lt;=30,"0-30",IF(J55&lt;=60,"31-60",IF(J55&lt;=90,"61-90","90+")))))</f>
        <v>90+</v>
      </c>
      <c r="L55" s="12" t="s">
        <v>208</v>
      </c>
    </row>
    <row r="56" spans="1:12">
      <c r="A56" s="12" t="s">
        <v>209</v>
      </c>
      <c r="B56" s="5" t="s">
        <v>75</v>
      </c>
      <c r="C56" s="5" t="s">
        <v>87</v>
      </c>
      <c r="D56" s="12" t="s">
        <v>174</v>
      </c>
      <c r="E56" s="3">
        <v>46091</v>
      </c>
      <c r="F56" s="3">
        <v>46121</v>
      </c>
      <c r="G56" s="6">
        <v>47052</v>
      </c>
      <c r="H56" s="5" t="s">
        <v>68</v>
      </c>
      <c r="I56" s="3">
        <v>46122</v>
      </c>
      <c r="J56" s="8">
        <f>AS_OF-F56</f>
        <v>154</v>
      </c>
      <c r="K56" s="5" t="str">
        <f>IF(OR(AND(H56&lt;&gt;"open",H56&lt;&gt;"partial"),G56&lt;=0),"n/a",IF(J56&lt;0,"current",IF(J56&lt;=30,"0-30",IF(J56&lt;=60,"31-60",IF(J56&lt;=90,"61-90","90+")))))</f>
        <v>n/a</v>
      </c>
      <c r="L56" s="12" t="s">
        <v>210</v>
      </c>
    </row>
    <row r="57" spans="1:12">
      <c r="A57" s="12" t="s">
        <v>211</v>
      </c>
      <c r="B57" s="5" t="s">
        <v>93</v>
      </c>
      <c r="C57" s="5" t="s">
        <v>66</v>
      </c>
      <c r="D57" s="12" t="s">
        <v>212</v>
      </c>
      <c r="E57" s="3">
        <v>46080</v>
      </c>
      <c r="F57" s="3">
        <v>46125</v>
      </c>
      <c r="G57" s="6">
        <v>27441</v>
      </c>
      <c r="H57" s="5" t="s">
        <v>68</v>
      </c>
      <c r="I57" s="3">
        <v>46127</v>
      </c>
      <c r="J57" s="8">
        <f>AS_OF-F57</f>
        <v>150</v>
      </c>
      <c r="K57" s="5" t="str">
        <f>IF(OR(AND(H57&lt;&gt;"open",H57&lt;&gt;"partial"),G57&lt;=0),"n/a",IF(J57&lt;0,"current",IF(J57&lt;=30,"0-30",IF(J57&lt;=60,"31-60",IF(J57&lt;=90,"61-90","90+")))))</f>
        <v>n/a</v>
      </c>
      <c r="L57" s="12" t="s">
        <v>213</v>
      </c>
    </row>
    <row r="58" spans="1:12">
      <c r="A58" s="12" t="s">
        <v>214</v>
      </c>
      <c r="B58" s="5" t="s">
        <v>179</v>
      </c>
      <c r="C58" s="5" t="s">
        <v>87</v>
      </c>
      <c r="D58" s="12" t="s">
        <v>180</v>
      </c>
      <c r="E58" s="3">
        <v>46099</v>
      </c>
      <c r="F58" s="3">
        <v>46129</v>
      </c>
      <c r="G58" s="6">
        <v>59348.1</v>
      </c>
      <c r="H58" s="5" t="s">
        <v>68</v>
      </c>
      <c r="I58" s="3">
        <v>46130</v>
      </c>
      <c r="J58" s="8">
        <f>AS_OF-F58</f>
        <v>146</v>
      </c>
      <c r="K58" s="5" t="str">
        <f>IF(OR(AND(H58&lt;&gt;"open",H58&lt;&gt;"partial"),G58&lt;=0),"n/a",IF(J58&lt;0,"current",IF(J58&lt;=30,"0-30",IF(J58&lt;=60,"31-60",IF(J58&lt;=90,"61-90","90+")))))</f>
        <v>n/a</v>
      </c>
      <c r="L58" s="12" t="s">
        <v>215</v>
      </c>
    </row>
    <row r="59" spans="1:12">
      <c r="A59" s="12" t="s">
        <v>216</v>
      </c>
      <c r="B59" s="5" t="s">
        <v>119</v>
      </c>
      <c r="C59" s="5" t="s">
        <v>66</v>
      </c>
      <c r="D59" s="12" t="s">
        <v>217</v>
      </c>
      <c r="E59" s="3">
        <v>46086</v>
      </c>
      <c r="F59" s="3">
        <v>46131</v>
      </c>
      <c r="G59" s="6">
        <v>29117.4</v>
      </c>
      <c r="H59" s="5" t="s">
        <v>68</v>
      </c>
      <c r="I59" s="3">
        <v>46132</v>
      </c>
      <c r="J59" s="8">
        <f>AS_OF-F59</f>
        <v>144</v>
      </c>
      <c r="K59" s="5" t="str">
        <f>IF(OR(AND(H59&lt;&gt;"open",H59&lt;&gt;"partial"),G59&lt;=0),"n/a",IF(J59&lt;0,"current",IF(J59&lt;=30,"0-30",IF(J59&lt;=60,"31-60",IF(J59&lt;=90,"61-90","90+")))))</f>
        <v>n/a</v>
      </c>
      <c r="L59" s="12" t="s">
        <v>218</v>
      </c>
    </row>
    <row r="60" spans="1:12">
      <c r="A60" s="12" t="s">
        <v>219</v>
      </c>
      <c r="B60" s="5" t="s">
        <v>75</v>
      </c>
      <c r="C60" s="5" t="s">
        <v>66</v>
      </c>
      <c r="D60" s="12" t="s">
        <v>220</v>
      </c>
      <c r="E60" s="3">
        <v>46092</v>
      </c>
      <c r="F60" s="3">
        <v>46137</v>
      </c>
      <c r="G60" s="6">
        <v>24751.2</v>
      </c>
      <c r="H60" s="5" t="s">
        <v>68</v>
      </c>
      <c r="I60" s="3">
        <v>46138</v>
      </c>
      <c r="J60" s="8">
        <f>AS_OF-F60</f>
        <v>138</v>
      </c>
      <c r="K60" s="5" t="str">
        <f>IF(OR(AND(H60&lt;&gt;"open",H60&lt;&gt;"partial"),G60&lt;=0),"n/a",IF(J60&lt;0,"current",IF(J60&lt;=30,"0-30",IF(J60&lt;=60,"31-60",IF(J60&lt;=90,"61-90","90+")))))</f>
        <v>n/a</v>
      </c>
      <c r="L60" s="12" t="s">
        <v>221</v>
      </c>
    </row>
    <row r="61" spans="1:12">
      <c r="A61" s="12" t="s">
        <v>222</v>
      </c>
      <c r="B61" s="5" t="s">
        <v>79</v>
      </c>
      <c r="C61" s="5" t="s">
        <v>87</v>
      </c>
      <c r="D61" s="12" t="s">
        <v>188</v>
      </c>
      <c r="E61" s="3">
        <v>46094</v>
      </c>
      <c r="F61" s="3">
        <v>46139</v>
      </c>
      <c r="G61" s="6">
        <v>63397.8</v>
      </c>
      <c r="H61" s="5" t="s">
        <v>68</v>
      </c>
      <c r="I61" s="3">
        <v>46140</v>
      </c>
      <c r="J61" s="8">
        <f>AS_OF-F61</f>
        <v>136</v>
      </c>
      <c r="K61" s="5" t="str">
        <f>IF(OR(AND(H61&lt;&gt;"open",H61&lt;&gt;"partial"),G61&lt;=0),"n/a",IF(J61&lt;0,"current",IF(J61&lt;=30,"0-30",IF(J61&lt;=60,"31-60",IF(J61&lt;=90,"61-90","90+")))))</f>
        <v>n/a</v>
      </c>
      <c r="L61" s="12" t="s">
        <v>223</v>
      </c>
    </row>
    <row r="62" spans="1:12">
      <c r="A62" s="12" t="s">
        <v>224</v>
      </c>
      <c r="B62" s="5" t="s">
        <v>79</v>
      </c>
      <c r="C62" s="5" t="s">
        <v>87</v>
      </c>
      <c r="D62" s="12" t="s">
        <v>197</v>
      </c>
      <c r="E62" s="3">
        <v>46114</v>
      </c>
      <c r="F62" s="3">
        <v>46144</v>
      </c>
      <c r="G62" s="6">
        <v>79620.3</v>
      </c>
      <c r="H62" s="5" t="s">
        <v>68</v>
      </c>
      <c r="I62" s="3">
        <v>46146</v>
      </c>
      <c r="J62" s="8">
        <f>AS_OF-F62</f>
        <v>131</v>
      </c>
      <c r="K62" s="5" t="str">
        <f>IF(OR(AND(H62&lt;&gt;"open",H62&lt;&gt;"partial"),G62&lt;=0),"n/a",IF(J62&lt;0,"current",IF(J62&lt;=30,"0-30",IF(J62&lt;=60,"31-60",IF(J62&lt;=90,"61-90","90+")))))</f>
        <v>n/a</v>
      </c>
      <c r="L62" s="12" t="s">
        <v>225</v>
      </c>
    </row>
    <row r="63" spans="1:12">
      <c r="A63" s="12" t="s">
        <v>226</v>
      </c>
      <c r="B63" s="5" t="s">
        <v>65</v>
      </c>
      <c r="C63" s="5" t="s">
        <v>66</v>
      </c>
      <c r="D63" s="12" t="s">
        <v>227</v>
      </c>
      <c r="E63" s="3">
        <v>46120</v>
      </c>
      <c r="F63" s="3">
        <v>46150</v>
      </c>
      <c r="G63" s="6">
        <v>31807.5</v>
      </c>
      <c r="H63" s="5" t="s">
        <v>68</v>
      </c>
      <c r="I63" s="3">
        <v>46152</v>
      </c>
      <c r="J63" s="8">
        <f>AS_OF-F63</f>
        <v>125</v>
      </c>
      <c r="K63" s="5" t="str">
        <f>IF(OR(AND(H63&lt;&gt;"open",H63&lt;&gt;"partial"),G63&lt;=0),"n/a",IF(J63&lt;0,"current",IF(J63&lt;=30,"0-30",IF(J63&lt;=60,"31-60",IF(J63&lt;=90,"61-90","90+")))))</f>
        <v>n/a</v>
      </c>
      <c r="L63" s="12" t="s">
        <v>228</v>
      </c>
    </row>
    <row r="64" spans="1:12">
      <c r="A64" s="12" t="s">
        <v>229</v>
      </c>
      <c r="B64" s="5" t="s">
        <v>115</v>
      </c>
      <c r="C64" s="5" t="s">
        <v>87</v>
      </c>
      <c r="D64" s="12" t="s">
        <v>201</v>
      </c>
      <c r="E64" s="3">
        <v>46120</v>
      </c>
      <c r="F64" s="3">
        <v>46150</v>
      </c>
      <c r="G64" s="6">
        <v>93056.7</v>
      </c>
      <c r="H64" s="5" t="s">
        <v>68</v>
      </c>
      <c r="I64" s="3">
        <v>46151</v>
      </c>
      <c r="J64" s="8">
        <f>AS_OF-F64</f>
        <v>125</v>
      </c>
      <c r="K64" s="5" t="str">
        <f>IF(OR(AND(H64&lt;&gt;"open",H64&lt;&gt;"partial"),G64&lt;=0),"n/a",IF(J64&lt;0,"current",IF(J64&lt;=30,"0-30",IF(J64&lt;=60,"31-60",IF(J64&lt;=90,"61-90","90+")))))</f>
        <v>n/a</v>
      </c>
      <c r="L64" s="12" t="s">
        <v>230</v>
      </c>
    </row>
    <row r="65" spans="1:12">
      <c r="A65" s="12" t="s">
        <v>231</v>
      </c>
      <c r="B65" s="5" t="s">
        <v>179</v>
      </c>
      <c r="C65" s="5" t="s">
        <v>66</v>
      </c>
      <c r="D65" s="12" t="s">
        <v>232</v>
      </c>
      <c r="E65" s="3">
        <v>46127</v>
      </c>
      <c r="F65" s="3">
        <v>46157</v>
      </c>
      <c r="G65" s="6">
        <v>32665.8</v>
      </c>
      <c r="H65" s="5" t="s">
        <v>68</v>
      </c>
      <c r="I65" s="3">
        <v>46158</v>
      </c>
      <c r="J65" s="8">
        <f>AS_OF-F65</f>
        <v>118</v>
      </c>
      <c r="K65" s="5" t="str">
        <f>IF(OR(AND(H65&lt;&gt;"open",H65&lt;&gt;"partial"),G65&lt;=0),"n/a",IF(J65&lt;0,"current",IF(J65&lt;=30,"0-30",IF(J65&lt;=60,"31-60",IF(J65&lt;=90,"61-90","90+")))))</f>
        <v>n/a</v>
      </c>
      <c r="L65" s="12" t="s">
        <v>233</v>
      </c>
    </row>
    <row r="66" spans="1:12">
      <c r="A66" s="12" t="s">
        <v>234</v>
      </c>
      <c r="B66" s="5" t="s">
        <v>115</v>
      </c>
      <c r="C66" s="5" t="s">
        <v>66</v>
      </c>
      <c r="D66" s="12" t="s">
        <v>235</v>
      </c>
      <c r="E66" s="3">
        <v>46130</v>
      </c>
      <c r="F66" s="3">
        <v>46160</v>
      </c>
      <c r="G66" s="6">
        <v>32917.2</v>
      </c>
      <c r="H66" s="5" t="s">
        <v>68</v>
      </c>
      <c r="I66" s="3">
        <v>46161</v>
      </c>
      <c r="J66" s="8">
        <f>AS_OF-F66</f>
        <v>115</v>
      </c>
      <c r="K66" s="5" t="str">
        <f>IF(OR(AND(H66&lt;&gt;"open",H66&lt;&gt;"partial"),G66&lt;=0),"n/a",IF(J66&lt;0,"current",IF(J66&lt;=30,"0-30",IF(J66&lt;=60,"31-60",IF(J66&lt;=90,"61-90","90+")))))</f>
        <v>n/a</v>
      </c>
      <c r="L66" s="12" t="s">
        <v>236</v>
      </c>
    </row>
    <row r="67" spans="1:12">
      <c r="A67" s="12" t="s">
        <v>237</v>
      </c>
      <c r="B67" s="5" t="s">
        <v>179</v>
      </c>
      <c r="C67" s="5" t="s">
        <v>66</v>
      </c>
      <c r="D67" s="12" t="s">
        <v>238</v>
      </c>
      <c r="E67" s="3">
        <v>46132</v>
      </c>
      <c r="F67" s="3">
        <v>46162</v>
      </c>
      <c r="G67" s="6">
        <v>30454.2</v>
      </c>
      <c r="H67" s="5" t="s">
        <v>68</v>
      </c>
      <c r="I67" s="3">
        <v>46163</v>
      </c>
      <c r="J67" s="8">
        <f>AS_OF-F67</f>
        <v>113</v>
      </c>
      <c r="K67" s="5" t="str">
        <f>IF(OR(AND(H67&lt;&gt;"open",H67&lt;&gt;"partial"),G67&lt;=0),"n/a",IF(J67&lt;0,"current",IF(J67&lt;=30,"0-30",IF(J67&lt;=60,"31-60",IF(J67&lt;=90,"61-90","90+")))))</f>
        <v>n/a</v>
      </c>
      <c r="L67" s="12" t="s">
        <v>239</v>
      </c>
    </row>
    <row r="68" spans="1:12">
      <c r="A68" s="12" t="s">
        <v>240</v>
      </c>
      <c r="B68" s="5" t="s">
        <v>115</v>
      </c>
      <c r="C68" s="5" t="s">
        <v>90</v>
      </c>
      <c r="D68" s="12" t="s">
        <v>201</v>
      </c>
      <c r="E68" s="3">
        <v>46137</v>
      </c>
      <c r="F68" s="3">
        <v>46167</v>
      </c>
      <c r="G68" s="6">
        <v>-382.5</v>
      </c>
      <c r="H68" s="5" t="s">
        <v>149</v>
      </c>
      <c r="I68" s="5" t="s">
        <v>150</v>
      </c>
      <c r="J68" s="8">
        <f>AS_OF-F68</f>
        <v>108</v>
      </c>
      <c r="K68" s="5" t="str">
        <f>IF(OR(AND(H68&lt;&gt;"open",H68&lt;&gt;"partial"),G68&lt;=0),"n/a",IF(J68&lt;0,"current",IF(J68&lt;=30,"0-30",IF(J68&lt;=60,"31-60",IF(J68&lt;=90,"61-90","90+")))))</f>
        <v>n/a</v>
      </c>
      <c r="L68" s="12" t="s">
        <v>241</v>
      </c>
    </row>
    <row r="69" spans="1:12">
      <c r="A69" s="12" t="s">
        <v>242</v>
      </c>
      <c r="B69" s="5" t="s">
        <v>119</v>
      </c>
      <c r="C69" s="5" t="s">
        <v>90</v>
      </c>
      <c r="D69" s="12" t="s">
        <v>217</v>
      </c>
      <c r="E69" s="3">
        <v>46135</v>
      </c>
      <c r="F69" s="3">
        <v>46180</v>
      </c>
      <c r="G69" s="6">
        <v>11520.96</v>
      </c>
      <c r="H69" s="5" t="s">
        <v>198</v>
      </c>
      <c r="I69" s="5" t="s">
        <v>150</v>
      </c>
      <c r="J69" s="8">
        <f>AS_OF-F69</f>
        <v>95</v>
      </c>
      <c r="K69" s="5" t="str">
        <f>IF(OR(AND(H69&lt;&gt;"open",H69&lt;&gt;"partial"),G69&lt;=0),"n/a",IF(J69&lt;0,"current",IF(J69&lt;=30,"0-30",IF(J69&lt;=60,"31-60",IF(J69&lt;=90,"61-90","90+")))))</f>
        <v>90+</v>
      </c>
      <c r="L69" s="12" t="s">
        <v>243</v>
      </c>
    </row>
    <row r="70" spans="1:12">
      <c r="A70" s="12" t="s">
        <v>244</v>
      </c>
      <c r="B70" s="5" t="s">
        <v>119</v>
      </c>
      <c r="C70" s="5" t="s">
        <v>87</v>
      </c>
      <c r="D70" s="12" t="s">
        <v>217</v>
      </c>
      <c r="E70" s="3">
        <v>46136</v>
      </c>
      <c r="F70" s="3">
        <v>46181</v>
      </c>
      <c r="G70" s="6">
        <v>81876.89999999999</v>
      </c>
      <c r="H70" s="5" t="s">
        <v>68</v>
      </c>
      <c r="I70" s="3">
        <v>46181</v>
      </c>
      <c r="J70" s="8">
        <f>AS_OF-F70</f>
        <v>94</v>
      </c>
      <c r="K70" s="5" t="str">
        <f>IF(OR(AND(H70&lt;&gt;"open",H70&lt;&gt;"partial"),G70&lt;=0),"n/a",IF(J70&lt;0,"current",IF(J70&lt;=30,"0-30",IF(J70&lt;=60,"31-60",IF(J70&lt;=90,"61-90","90+")))))</f>
        <v>n/a</v>
      </c>
      <c r="L70" s="12" t="s">
        <v>245</v>
      </c>
    </row>
    <row r="71" spans="1:12">
      <c r="A71" s="12" t="s">
        <v>246</v>
      </c>
      <c r="B71" s="5" t="s">
        <v>119</v>
      </c>
      <c r="C71" s="5" t="s">
        <v>66</v>
      </c>
      <c r="D71" s="12" t="s">
        <v>247</v>
      </c>
      <c r="E71" s="3">
        <v>46153</v>
      </c>
      <c r="F71" s="3">
        <v>46183</v>
      </c>
      <c r="G71" s="6">
        <v>43055.4</v>
      </c>
      <c r="H71" s="5" t="s">
        <v>68</v>
      </c>
      <c r="I71" s="3">
        <v>46185</v>
      </c>
      <c r="J71" s="8">
        <f>AS_OF-F71</f>
        <v>92</v>
      </c>
      <c r="K71" s="5" t="str">
        <f>IF(OR(AND(H71&lt;&gt;"open",H71&lt;&gt;"partial"),G71&lt;=0),"n/a",IF(J71&lt;0,"current",IF(J71&lt;=30,"0-30",IF(J71&lt;=60,"31-60",IF(J71&lt;=90,"61-90","90+")))))</f>
        <v>n/a</v>
      </c>
      <c r="L71" s="12" t="s">
        <v>248</v>
      </c>
    </row>
    <row r="72" spans="1:12">
      <c r="A72" s="12" t="s">
        <v>249</v>
      </c>
      <c r="B72" s="5" t="s">
        <v>93</v>
      </c>
      <c r="C72" s="5" t="s">
        <v>87</v>
      </c>
      <c r="D72" s="12" t="s">
        <v>212</v>
      </c>
      <c r="E72" s="3">
        <v>46141</v>
      </c>
      <c r="F72" s="3">
        <v>46186</v>
      </c>
      <c r="G72" s="6">
        <v>122743.8</v>
      </c>
      <c r="H72" s="5" t="s">
        <v>198</v>
      </c>
      <c r="I72" s="5" t="s">
        <v>150</v>
      </c>
      <c r="J72" s="8">
        <f>AS_OF-F72</f>
        <v>89</v>
      </c>
      <c r="K72" s="5" t="str">
        <f>IF(OR(AND(H72&lt;&gt;"open",H72&lt;&gt;"partial"),G72&lt;=0),"n/a",IF(J72&lt;0,"current",IF(J72&lt;=30,"0-30",IF(J72&lt;=60,"31-60",IF(J72&lt;=90,"61-90","90+")))))</f>
        <v>61-90</v>
      </c>
      <c r="L72" s="12" t="s">
        <v>250</v>
      </c>
    </row>
    <row r="73" spans="1:12">
      <c r="A73" s="12" t="s">
        <v>251</v>
      </c>
      <c r="B73" s="5" t="s">
        <v>115</v>
      </c>
      <c r="C73" s="5" t="s">
        <v>66</v>
      </c>
      <c r="D73" s="12" t="s">
        <v>252</v>
      </c>
      <c r="E73" s="3">
        <v>46165</v>
      </c>
      <c r="F73" s="3">
        <v>46195</v>
      </c>
      <c r="G73" s="6">
        <v>37302.6</v>
      </c>
      <c r="H73" s="5" t="s">
        <v>68</v>
      </c>
      <c r="I73" s="3">
        <v>46196</v>
      </c>
      <c r="J73" s="8">
        <f>AS_OF-F73</f>
        <v>80</v>
      </c>
      <c r="K73" s="5" t="str">
        <f>IF(OR(AND(H73&lt;&gt;"open",H73&lt;&gt;"partial"),G73&lt;=0),"n/a",IF(J73&lt;0,"current",IF(J73&lt;=30,"0-30",IF(J73&lt;=60,"31-60",IF(J73&lt;=90,"61-90","90+")))))</f>
        <v>n/a</v>
      </c>
      <c r="L73" s="12" t="s">
        <v>253</v>
      </c>
    </row>
    <row r="74" spans="1:12">
      <c r="A74" s="12" t="s">
        <v>254</v>
      </c>
      <c r="B74" s="5" t="s">
        <v>75</v>
      </c>
      <c r="C74" s="5" t="s">
        <v>87</v>
      </c>
      <c r="D74" s="12" t="s">
        <v>220</v>
      </c>
      <c r="E74" s="3">
        <v>46156</v>
      </c>
      <c r="F74" s="3">
        <v>46201</v>
      </c>
      <c r="G74" s="6">
        <v>84432.3</v>
      </c>
      <c r="H74" s="5" t="s">
        <v>68</v>
      </c>
      <c r="I74" s="3">
        <v>46202</v>
      </c>
      <c r="J74" s="8">
        <f>AS_OF-F74</f>
        <v>74</v>
      </c>
      <c r="K74" s="5" t="str">
        <f>IF(OR(AND(H74&lt;&gt;"open",H74&lt;&gt;"partial"),G74&lt;=0),"n/a",IF(J74&lt;0,"current",IF(J74&lt;=30,"0-30",IF(J74&lt;=60,"31-60",IF(J74&lt;=90,"61-90","90+")))))</f>
        <v>n/a</v>
      </c>
      <c r="L74" s="12" t="s">
        <v>255</v>
      </c>
    </row>
    <row r="75" spans="1:12">
      <c r="A75" s="12" t="s">
        <v>256</v>
      </c>
      <c r="B75" s="5" t="s">
        <v>65</v>
      </c>
      <c r="C75" s="5" t="s">
        <v>87</v>
      </c>
      <c r="D75" s="12" t="s">
        <v>227</v>
      </c>
      <c r="E75" s="3">
        <v>46171</v>
      </c>
      <c r="F75" s="3">
        <v>46201</v>
      </c>
      <c r="G75" s="6">
        <v>51088.2</v>
      </c>
      <c r="H75" s="5" t="s">
        <v>68</v>
      </c>
      <c r="I75" s="3">
        <v>46201</v>
      </c>
      <c r="J75" s="8">
        <f>AS_OF-F75</f>
        <v>74</v>
      </c>
      <c r="K75" s="5" t="str">
        <f>IF(OR(AND(H75&lt;&gt;"open",H75&lt;&gt;"partial"),G75&lt;=0),"n/a",IF(J75&lt;0,"current",IF(J75&lt;=30,"0-30",IF(J75&lt;=60,"31-60",IF(J75&lt;=90,"61-90","90+")))))</f>
        <v>n/a</v>
      </c>
      <c r="L75" s="12" t="s">
        <v>257</v>
      </c>
    </row>
    <row r="76" spans="1:12">
      <c r="A76" s="12" t="s">
        <v>258</v>
      </c>
      <c r="B76" s="5" t="s">
        <v>179</v>
      </c>
      <c r="C76" s="5" t="s">
        <v>87</v>
      </c>
      <c r="D76" s="12" t="s">
        <v>232</v>
      </c>
      <c r="E76" s="3">
        <v>46173</v>
      </c>
      <c r="F76" s="3">
        <v>46203</v>
      </c>
      <c r="G76" s="6">
        <v>68774.39999999999</v>
      </c>
      <c r="H76" s="5" t="s">
        <v>68</v>
      </c>
      <c r="I76" s="3">
        <v>46204</v>
      </c>
      <c r="J76" s="8">
        <f>AS_OF-F76</f>
        <v>72</v>
      </c>
      <c r="K76" s="5" t="str">
        <f>IF(OR(AND(H76&lt;&gt;"open",H76&lt;&gt;"partial"),G76&lt;=0),"n/a",IF(J76&lt;0,"current",IF(J76&lt;=30,"0-30",IF(J76&lt;=60,"31-60",IF(J76&lt;=90,"61-90","90+")))))</f>
        <v>n/a</v>
      </c>
      <c r="L76" s="12" t="s">
        <v>259</v>
      </c>
    </row>
    <row r="77" spans="1:12">
      <c r="A77" s="12" t="s">
        <v>260</v>
      </c>
      <c r="B77" s="5" t="s">
        <v>179</v>
      </c>
      <c r="C77" s="5" t="s">
        <v>87</v>
      </c>
      <c r="D77" s="12" t="s">
        <v>238</v>
      </c>
      <c r="E77" s="3">
        <v>46182</v>
      </c>
      <c r="F77" s="3">
        <v>46212</v>
      </c>
      <c r="G77" s="6">
        <v>104612.4</v>
      </c>
      <c r="H77" s="5" t="s">
        <v>68</v>
      </c>
      <c r="I77" s="3">
        <v>46213</v>
      </c>
      <c r="J77" s="8">
        <f>AS_OF-F77</f>
        <v>63</v>
      </c>
      <c r="K77" s="5" t="str">
        <f>IF(OR(AND(H77&lt;&gt;"open",H77&lt;&gt;"partial"),G77&lt;=0),"n/a",IF(J77&lt;0,"current",IF(J77&lt;=30,"0-30",IF(J77&lt;=60,"31-60",IF(J77&lt;=90,"61-90","90+")))))</f>
        <v>n/a</v>
      </c>
      <c r="L77" s="12" t="s">
        <v>261</v>
      </c>
    </row>
    <row r="78" spans="1:12">
      <c r="A78" s="12" t="s">
        <v>262</v>
      </c>
      <c r="B78" s="5" t="s">
        <v>263</v>
      </c>
      <c r="C78" s="5" t="s">
        <v>66</v>
      </c>
      <c r="D78" s="12" t="s">
        <v>264</v>
      </c>
      <c r="E78" s="3">
        <v>46168</v>
      </c>
      <c r="F78" s="3">
        <v>46213</v>
      </c>
      <c r="G78" s="6">
        <v>43873.5</v>
      </c>
      <c r="H78" s="5" t="s">
        <v>68</v>
      </c>
      <c r="I78" s="3">
        <v>46214</v>
      </c>
      <c r="J78" s="8">
        <f>AS_OF-F78</f>
        <v>62</v>
      </c>
      <c r="K78" s="5" t="str">
        <f>IF(OR(AND(H78&lt;&gt;"open",H78&lt;&gt;"partial"),G78&lt;=0),"n/a",IF(J78&lt;0,"current",IF(J78&lt;=30,"0-30",IF(J78&lt;=60,"31-60",IF(J78&lt;=90,"61-90","90+")))))</f>
        <v>n/a</v>
      </c>
      <c r="L78" s="12" t="s">
        <v>265</v>
      </c>
    </row>
    <row r="79" spans="1:12">
      <c r="A79" s="12" t="s">
        <v>266</v>
      </c>
      <c r="B79" s="5" t="s">
        <v>75</v>
      </c>
      <c r="C79" s="5" t="s">
        <v>66</v>
      </c>
      <c r="D79" s="12" t="s">
        <v>267</v>
      </c>
      <c r="E79" s="3">
        <v>46173</v>
      </c>
      <c r="F79" s="3">
        <v>46218</v>
      </c>
      <c r="G79" s="6">
        <v>39309</v>
      </c>
      <c r="H79" s="5" t="s">
        <v>68</v>
      </c>
      <c r="I79" s="3">
        <v>46220</v>
      </c>
      <c r="J79" s="8">
        <f>AS_OF-F79</f>
        <v>57</v>
      </c>
      <c r="K79" s="5" t="str">
        <f>IF(OR(AND(H79&lt;&gt;"open",H79&lt;&gt;"partial"),G79&lt;=0),"n/a",IF(J79&lt;0,"current",IF(J79&lt;=30,"0-30",IF(J79&lt;=60,"31-60",IF(J79&lt;=90,"61-90","90+")))))</f>
        <v>n/a</v>
      </c>
      <c r="L79" s="12" t="s">
        <v>268</v>
      </c>
    </row>
    <row r="80" spans="1:12">
      <c r="A80" s="12" t="s">
        <v>269</v>
      </c>
      <c r="B80" s="5" t="s">
        <v>115</v>
      </c>
      <c r="C80" s="5" t="s">
        <v>87</v>
      </c>
      <c r="D80" s="12" t="s">
        <v>235</v>
      </c>
      <c r="E80" s="3">
        <v>46190</v>
      </c>
      <c r="F80" s="3">
        <v>46220</v>
      </c>
      <c r="G80" s="6">
        <v>75625.2</v>
      </c>
      <c r="H80" s="5" t="s">
        <v>68</v>
      </c>
      <c r="I80" s="3">
        <v>46221</v>
      </c>
      <c r="J80" s="8">
        <f>AS_OF-F80</f>
        <v>55</v>
      </c>
      <c r="K80" s="5" t="str">
        <f>IF(OR(AND(H80&lt;&gt;"open",H80&lt;&gt;"partial"),G80&lt;=0),"n/a",IF(J80&lt;0,"current",IF(J80&lt;=30,"0-30",IF(J80&lt;=60,"31-60",IF(J80&lt;=90,"61-90","90+")))))</f>
        <v>n/a</v>
      </c>
      <c r="L80" s="12" t="s">
        <v>270</v>
      </c>
    </row>
    <row r="81" spans="1:12">
      <c r="A81" s="12" t="s">
        <v>271</v>
      </c>
      <c r="B81" s="5" t="s">
        <v>127</v>
      </c>
      <c r="C81" s="5" t="s">
        <v>66</v>
      </c>
      <c r="D81" s="12" t="s">
        <v>272</v>
      </c>
      <c r="E81" s="3">
        <v>46195</v>
      </c>
      <c r="F81" s="3">
        <v>46225</v>
      </c>
      <c r="G81" s="6">
        <v>47049</v>
      </c>
      <c r="H81" s="5" t="s">
        <v>68</v>
      </c>
      <c r="I81" s="3">
        <v>46226</v>
      </c>
      <c r="J81" s="8">
        <f>AS_OF-F81</f>
        <v>50</v>
      </c>
      <c r="K81" s="5" t="str">
        <f>IF(OR(AND(H81&lt;&gt;"open",H81&lt;&gt;"partial"),G81&lt;=0),"n/a",IF(J81&lt;0,"current",IF(J81&lt;=30,"0-30",IF(J81&lt;=60,"31-60",IF(J81&lt;=90,"61-90","90+")))))</f>
        <v>n/a</v>
      </c>
      <c r="L81" s="12" t="s">
        <v>273</v>
      </c>
    </row>
    <row r="82" spans="1:12">
      <c r="A82" s="12" t="s">
        <v>274</v>
      </c>
      <c r="B82" s="5" t="s">
        <v>119</v>
      </c>
      <c r="C82" s="5" t="s">
        <v>87</v>
      </c>
      <c r="D82" s="12" t="s">
        <v>247</v>
      </c>
      <c r="E82" s="3">
        <v>46202</v>
      </c>
      <c r="F82" s="3">
        <v>46232</v>
      </c>
      <c r="G82" s="6">
        <v>86305.5</v>
      </c>
      <c r="H82" s="5" t="s">
        <v>198</v>
      </c>
      <c r="I82" s="5" t="s">
        <v>150</v>
      </c>
      <c r="J82" s="8">
        <f>AS_OF-F82</f>
        <v>43</v>
      </c>
      <c r="K82" s="5" t="str">
        <f>IF(OR(AND(H82&lt;&gt;"open",H82&lt;&gt;"partial"),G82&lt;=0),"n/a",IF(J82&lt;0,"current",IF(J82&lt;=30,"0-30",IF(J82&lt;=60,"31-60",IF(J82&lt;=90,"61-90","90+")))))</f>
        <v>31-60</v>
      </c>
      <c r="L82" s="12" t="s">
        <v>275</v>
      </c>
    </row>
    <row r="83" spans="1:12">
      <c r="A83" s="12" t="s">
        <v>276</v>
      </c>
      <c r="B83" s="5" t="s">
        <v>119</v>
      </c>
      <c r="C83" s="5" t="s">
        <v>90</v>
      </c>
      <c r="D83" s="12" t="s">
        <v>247</v>
      </c>
      <c r="E83" s="3">
        <v>46208</v>
      </c>
      <c r="F83" s="3">
        <v>46238</v>
      </c>
      <c r="G83" s="6">
        <v>9882.120000000001</v>
      </c>
      <c r="H83" s="5" t="s">
        <v>68</v>
      </c>
      <c r="I83" s="3">
        <v>46239</v>
      </c>
      <c r="J83" s="8">
        <f>AS_OF-F83</f>
        <v>37</v>
      </c>
      <c r="K83" s="5" t="str">
        <f>IF(OR(AND(H83&lt;&gt;"open",H83&lt;&gt;"partial"),G83&lt;=0),"n/a",IF(J83&lt;0,"current",IF(J83&lt;=30,"0-30",IF(J83&lt;=60,"31-60",IF(J83&lt;=90,"61-90","90+")))))</f>
        <v>n/a</v>
      </c>
      <c r="L83" s="12" t="s">
        <v>277</v>
      </c>
    </row>
    <row r="84" spans="1:12">
      <c r="A84" s="12" t="s">
        <v>278</v>
      </c>
      <c r="B84" s="5" t="s">
        <v>119</v>
      </c>
      <c r="C84" s="5" t="s">
        <v>90</v>
      </c>
      <c r="D84" s="12" t="s">
        <v>247</v>
      </c>
      <c r="E84" s="3">
        <v>46208</v>
      </c>
      <c r="F84" s="3">
        <v>46238</v>
      </c>
      <c r="G84" s="6">
        <v>-49.5</v>
      </c>
      <c r="H84" s="5" t="s">
        <v>149</v>
      </c>
      <c r="I84" s="5" t="s">
        <v>150</v>
      </c>
      <c r="J84" s="8">
        <f>AS_OF-F84</f>
        <v>37</v>
      </c>
      <c r="K84" s="5" t="str">
        <f>IF(OR(AND(H84&lt;&gt;"open",H84&lt;&gt;"partial"),G84&lt;=0),"n/a",IF(J84&lt;0,"current",IF(J84&lt;=30,"0-30",IF(J84&lt;=60,"31-60",IF(J84&lt;=90,"61-90","90+")))))</f>
        <v>n/a</v>
      </c>
      <c r="L84" s="12" t="s">
        <v>279</v>
      </c>
    </row>
    <row r="85" spans="1:12">
      <c r="A85" s="12" t="s">
        <v>280</v>
      </c>
      <c r="B85" s="5" t="s">
        <v>115</v>
      </c>
      <c r="C85" s="5" t="s">
        <v>87</v>
      </c>
      <c r="D85" s="12" t="s">
        <v>252</v>
      </c>
      <c r="E85" s="3">
        <v>46213</v>
      </c>
      <c r="F85" s="3">
        <v>46243</v>
      </c>
      <c r="G85" s="6">
        <v>97997.10000000001</v>
      </c>
      <c r="H85" s="5" t="s">
        <v>68</v>
      </c>
      <c r="I85" s="3">
        <v>46245</v>
      </c>
      <c r="J85" s="8">
        <f>AS_OF-F85</f>
        <v>32</v>
      </c>
      <c r="K85" s="5" t="str">
        <f>IF(OR(AND(H85&lt;&gt;"open",H85&lt;&gt;"partial"),G85&lt;=0),"n/a",IF(J85&lt;0,"current",IF(J85&lt;=30,"0-30",IF(J85&lt;=60,"31-60",IF(J85&lt;=90,"61-90","90+")))))</f>
        <v>n/a</v>
      </c>
      <c r="L85" s="12" t="s">
        <v>281</v>
      </c>
    </row>
    <row r="86" spans="1:12">
      <c r="A86" s="12" t="s">
        <v>282</v>
      </c>
      <c r="B86" s="5" t="s">
        <v>179</v>
      </c>
      <c r="C86" s="5" t="s">
        <v>66</v>
      </c>
      <c r="D86" s="12" t="s">
        <v>283</v>
      </c>
      <c r="E86" s="3">
        <v>46198</v>
      </c>
      <c r="F86" s="3">
        <v>46243</v>
      </c>
      <c r="G86" s="6">
        <v>25103.7</v>
      </c>
      <c r="H86" s="5" t="s">
        <v>68</v>
      </c>
      <c r="I86" s="3">
        <v>46245</v>
      </c>
      <c r="J86" s="8">
        <f>AS_OF-F86</f>
        <v>32</v>
      </c>
      <c r="K86" s="5" t="str">
        <f>IF(OR(AND(H86&lt;&gt;"open",H86&lt;&gt;"partial"),G86&lt;=0),"n/a",IF(J86&lt;0,"current",IF(J86&lt;=30,"0-30",IF(J86&lt;=60,"31-60",IF(J86&lt;=90,"61-90","90+")))))</f>
        <v>n/a</v>
      </c>
      <c r="L86" s="12" t="s">
        <v>284</v>
      </c>
    </row>
    <row r="87" spans="1:12">
      <c r="A87" s="12" t="s">
        <v>285</v>
      </c>
      <c r="B87" s="5" t="s">
        <v>93</v>
      </c>
      <c r="C87" s="5" t="s">
        <v>66</v>
      </c>
      <c r="D87" s="12" t="s">
        <v>286</v>
      </c>
      <c r="E87" s="3">
        <v>46204</v>
      </c>
      <c r="F87" s="3">
        <v>46249</v>
      </c>
      <c r="G87" s="6">
        <v>28999.8</v>
      </c>
      <c r="H87" s="5" t="s">
        <v>198</v>
      </c>
      <c r="I87" s="5" t="s">
        <v>150</v>
      </c>
      <c r="J87" s="8">
        <f>AS_OF-F87</f>
        <v>26</v>
      </c>
      <c r="K87" s="5" t="str">
        <f>IF(OR(AND(H87&lt;&gt;"open",H87&lt;&gt;"partial"),G87&lt;=0),"n/a",IF(J87&lt;0,"current",IF(J87&lt;=30,"0-30",IF(J87&lt;=60,"31-60",IF(J87&lt;=90,"61-90","90+")))))</f>
        <v>0-30</v>
      </c>
      <c r="L87" s="12" t="s">
        <v>287</v>
      </c>
    </row>
    <row r="88" spans="1:12">
      <c r="A88" s="12" t="s">
        <v>288</v>
      </c>
      <c r="B88" s="5" t="s">
        <v>179</v>
      </c>
      <c r="C88" s="5" t="s">
        <v>66</v>
      </c>
      <c r="D88" s="12" t="s">
        <v>289</v>
      </c>
      <c r="E88" s="3">
        <v>46209</v>
      </c>
      <c r="F88" s="3">
        <v>46254</v>
      </c>
      <c r="G88" s="6">
        <v>42449.7</v>
      </c>
      <c r="H88" s="5" t="s">
        <v>68</v>
      </c>
      <c r="I88" s="3">
        <v>46255</v>
      </c>
      <c r="J88" s="8">
        <f>AS_OF-F88</f>
        <v>21</v>
      </c>
      <c r="K88" s="5" t="str">
        <f>IF(OR(AND(H88&lt;&gt;"open",H88&lt;&gt;"partial"),G88&lt;=0),"n/a",IF(J88&lt;0,"current",IF(J88&lt;=30,"0-30",IF(J88&lt;=60,"31-60",IF(J88&lt;=90,"61-90","90+")))))</f>
        <v>n/a</v>
      </c>
      <c r="L88" s="12" t="s">
        <v>290</v>
      </c>
    </row>
    <row r="89" spans="1:12">
      <c r="A89" s="12" t="s">
        <v>291</v>
      </c>
      <c r="B89" s="5" t="s">
        <v>263</v>
      </c>
      <c r="C89" s="5" t="s">
        <v>87</v>
      </c>
      <c r="D89" s="12" t="s">
        <v>264</v>
      </c>
      <c r="E89" s="3">
        <v>46225</v>
      </c>
      <c r="F89" s="3">
        <v>46270</v>
      </c>
      <c r="G89" s="6">
        <v>54542.7</v>
      </c>
      <c r="H89" s="5" t="s">
        <v>68</v>
      </c>
      <c r="I89" s="3">
        <v>46271</v>
      </c>
      <c r="J89" s="8">
        <f>AS_OF-F89</f>
        <v>5</v>
      </c>
      <c r="K89" s="5" t="str">
        <f>IF(OR(AND(H89&lt;&gt;"open",H89&lt;&gt;"partial"),G89&lt;=0),"n/a",IF(J89&lt;0,"current",IF(J89&lt;=30,"0-30",IF(J89&lt;=60,"31-60",IF(J89&lt;=90,"61-90","90+")))))</f>
        <v>n/a</v>
      </c>
      <c r="L89" s="12" t="s">
        <v>292</v>
      </c>
    </row>
    <row r="90" spans="1:12">
      <c r="A90" s="12" t="s">
        <v>293</v>
      </c>
      <c r="B90" s="5" t="s">
        <v>75</v>
      </c>
      <c r="C90" s="5" t="s">
        <v>87</v>
      </c>
      <c r="D90" s="12" t="s">
        <v>267</v>
      </c>
      <c r="E90" s="3">
        <v>46233</v>
      </c>
      <c r="F90" s="3">
        <v>46278</v>
      </c>
      <c r="G90" s="6">
        <v>88869.89999999999</v>
      </c>
      <c r="H90" s="5" t="s">
        <v>198</v>
      </c>
      <c r="I90" s="5" t="s">
        <v>150</v>
      </c>
      <c r="J90" s="8">
        <f>AS_OF-F90</f>
        <v>-3</v>
      </c>
      <c r="K90" s="5" t="str">
        <f>IF(OR(AND(H90&lt;&gt;"open",H90&lt;&gt;"partial"),G90&lt;=0),"n/a",IF(J90&lt;0,"current",IF(J90&lt;=30,"0-30",IF(J90&lt;=60,"31-60",IF(J90&lt;=90,"61-90","90+")))))</f>
        <v>current</v>
      </c>
      <c r="L90" s="12" t="s">
        <v>294</v>
      </c>
    </row>
    <row r="91" spans="1:12">
      <c r="A91" s="12" t="s">
        <v>295</v>
      </c>
      <c r="B91" s="5" t="s">
        <v>127</v>
      </c>
      <c r="C91" s="5" t="s">
        <v>87</v>
      </c>
      <c r="D91" s="12" t="s">
        <v>272</v>
      </c>
      <c r="E91" s="3">
        <v>46258</v>
      </c>
      <c r="F91" s="3">
        <v>46288</v>
      </c>
      <c r="G91" s="6">
        <v>65765.7</v>
      </c>
      <c r="H91" s="5" t="s">
        <v>198</v>
      </c>
      <c r="I91" s="5" t="s">
        <v>150</v>
      </c>
      <c r="J91" s="8">
        <f>AS_OF-F91</f>
        <v>-13</v>
      </c>
      <c r="K91" s="5" t="str">
        <f>IF(OR(AND(H91&lt;&gt;"open",H91&lt;&gt;"partial"),G91&lt;=0),"n/a",IF(J91&lt;0,"current",IF(J91&lt;=30,"0-30",IF(J91&lt;=60,"31-60",IF(J91&lt;=90,"61-90","90+")))))</f>
        <v>current</v>
      </c>
      <c r="L91" s="12" t="s">
        <v>296</v>
      </c>
    </row>
    <row r="92" spans="1:12">
      <c r="A92" s="12" t="s">
        <v>297</v>
      </c>
      <c r="B92" s="5" t="s">
        <v>179</v>
      </c>
      <c r="C92" s="5" t="s">
        <v>87</v>
      </c>
      <c r="D92" s="12" t="s">
        <v>283</v>
      </c>
      <c r="E92" s="3">
        <v>46247</v>
      </c>
      <c r="F92" s="3">
        <v>46292</v>
      </c>
      <c r="G92" s="6">
        <v>135789.9</v>
      </c>
      <c r="H92" s="5" t="s">
        <v>198</v>
      </c>
      <c r="I92" s="5" t="s">
        <v>150</v>
      </c>
      <c r="J92" s="8">
        <f>AS_OF-F92</f>
        <v>-17</v>
      </c>
      <c r="K92" s="5" t="str">
        <f>IF(OR(AND(H92&lt;&gt;"open",H92&lt;&gt;"partial"),G92&lt;=0),"n/a",IF(J92&lt;0,"current",IF(J92&lt;=30,"0-30",IF(J92&lt;=60,"31-60",IF(J92&lt;=90,"61-90","90+")))))</f>
        <v>current</v>
      </c>
      <c r="L92" s="12" t="s">
        <v>298</v>
      </c>
    </row>
    <row r="93" spans="1:12">
      <c r="A93" s="12" t="s">
        <v>299</v>
      </c>
      <c r="B93" s="5" t="s">
        <v>179</v>
      </c>
      <c r="C93" s="5" t="s">
        <v>90</v>
      </c>
      <c r="D93" s="12" t="s">
        <v>283</v>
      </c>
      <c r="E93" s="3">
        <v>46255</v>
      </c>
      <c r="F93" s="3">
        <v>46300</v>
      </c>
      <c r="G93" s="6">
        <v>31794.24</v>
      </c>
      <c r="H93" s="5" t="s">
        <v>198</v>
      </c>
      <c r="I93" s="5" t="s">
        <v>150</v>
      </c>
      <c r="J93" s="8">
        <f>AS_OF-F93</f>
        <v>-25</v>
      </c>
      <c r="K93" s="5" t="str">
        <f>IF(OR(AND(H93&lt;&gt;"open",H93&lt;&gt;"partial"),G93&lt;=0),"n/a",IF(J93&lt;0,"current",IF(J93&lt;=30,"0-30",IF(J93&lt;=60,"31-60",IF(J93&lt;=90,"61-90","90+")))))</f>
        <v>current</v>
      </c>
      <c r="L93" s="12" t="s">
        <v>300</v>
      </c>
    </row>
    <row r="94" spans="1:12">
      <c r="A94" s="12" t="s">
        <v>301</v>
      </c>
      <c r="B94" s="5" t="s">
        <v>93</v>
      </c>
      <c r="C94" s="5" t="s">
        <v>87</v>
      </c>
      <c r="D94" s="12" t="s">
        <v>286</v>
      </c>
      <c r="E94" s="3">
        <v>46264</v>
      </c>
      <c r="F94" s="3">
        <v>46309</v>
      </c>
      <c r="G94" s="6">
        <v>65245.2</v>
      </c>
      <c r="H94" s="5" t="s">
        <v>198</v>
      </c>
      <c r="I94" s="5" t="s">
        <v>150</v>
      </c>
      <c r="J94" s="8">
        <f>AS_OF-F94</f>
        <v>-34</v>
      </c>
      <c r="K94" s="5" t="str">
        <f>IF(OR(AND(H94&lt;&gt;"open",H94&lt;&gt;"partial"),G94&lt;=0),"n/a",IF(J94&lt;0,"current",IF(J94&lt;=30,"0-30",IF(J94&lt;=60,"31-60",IF(J94&lt;=90,"61-90","90+")))))</f>
        <v>current</v>
      </c>
      <c r="L94" s="12" t="s">
        <v>302</v>
      </c>
    </row>
    <row r="95" spans="1:12">
      <c r="A95" s="12" t="s">
        <v>303</v>
      </c>
      <c r="B95" s="5" t="s">
        <v>179</v>
      </c>
      <c r="C95" s="5" t="s">
        <v>87</v>
      </c>
      <c r="D95" s="12" t="s">
        <v>289</v>
      </c>
      <c r="E95" s="3">
        <v>46266</v>
      </c>
      <c r="F95" s="3">
        <v>46311</v>
      </c>
      <c r="G95" s="6">
        <v>56861.4</v>
      </c>
      <c r="H95" s="5" t="s">
        <v>198</v>
      </c>
      <c r="I95" s="5" t="s">
        <v>150</v>
      </c>
      <c r="J95" s="8">
        <f>AS_OF-F95</f>
        <v>-36</v>
      </c>
      <c r="K95" s="5" t="str">
        <f>IF(OR(AND(H95&lt;&gt;"open",H95&lt;&gt;"partial"),G95&lt;=0),"n/a",IF(J95&lt;0,"current",IF(J95&lt;=30,"0-30",IF(J95&lt;=60,"31-60",IF(J95&lt;=90,"61-90","90+")))))</f>
        <v>current</v>
      </c>
      <c r="L95" s="12" t="s">
        <v>304</v>
      </c>
    </row>
    <row r="96" spans="1:12">
      <c r="A96" s="12" t="s">
        <v>305</v>
      </c>
      <c r="B96" s="5" t="s">
        <v>75</v>
      </c>
      <c r="C96" s="5" t="s">
        <v>66</v>
      </c>
      <c r="D96" s="12" t="s">
        <v>306</v>
      </c>
      <c r="E96" s="3">
        <v>46268</v>
      </c>
      <c r="F96" s="3">
        <v>46313</v>
      </c>
      <c r="G96" s="6">
        <v>28175.4</v>
      </c>
      <c r="H96" s="5" t="s">
        <v>198</v>
      </c>
      <c r="I96" s="5" t="s">
        <v>150</v>
      </c>
      <c r="J96" s="8">
        <f>AS_OF-F96</f>
        <v>-38</v>
      </c>
      <c r="K96" s="5" t="str">
        <f>IF(OR(AND(H96&lt;&gt;"open",H96&lt;&gt;"partial"),G96&lt;=0),"n/a",IF(J96&lt;0,"current",IF(J96&lt;=30,"0-30",IF(J96&lt;=60,"31-60",IF(J96&lt;=90,"61-90","90+")))))</f>
        <v>current</v>
      </c>
      <c r="L96" s="12" t="s">
        <v>307</v>
      </c>
    </row>
    <row r="99" spans="1:4">
      <c r="A99" s="10" t="s">
        <v>308</v>
      </c>
    </row>
    <row r="100" spans="1:4">
      <c r="A100" s="4" t="s">
        <v>24</v>
      </c>
      <c r="B100" s="4" t="s">
        <v>309</v>
      </c>
      <c r="C100" s="4" t="s">
        <v>310</v>
      </c>
      <c r="D100" s="4" t="s">
        <v>311</v>
      </c>
    </row>
    <row r="101" spans="1:4">
      <c r="A101" s="5" t="s">
        <v>27</v>
      </c>
      <c r="B101" s="6">
        <f>SUMIFS(G5:G96,H5:H96,"open",G5:G96,"&gt;0",J5:J96,"&lt;0")+SUMIFS(G5:G96,H5:H96,"partial",G5:G96,"&gt;0",J5:J96,"&lt;0")</f>
        <v>472501.74</v>
      </c>
      <c r="C101" s="6">
        <v>472501.74</v>
      </c>
      <c r="D101" s="5" t="str">
        <f>IF(ABS(B101-C101)&lt;0.01,"ok","DRIFT")</f>
        <v>ok</v>
      </c>
    </row>
    <row r="102" spans="1:4">
      <c r="A102" s="5" t="s">
        <v>28</v>
      </c>
      <c r="B102" s="6">
        <f>SUMIFS(G5:G96,H5:H96,"open",G5:G96,"&gt;0",J5:J96,"&gt;=0",J5:J96,"&lt;=30")+SUMIFS(G5:G96,H5:H96,"partial",G5:G96,"&gt;0",J5:J96,"&gt;=0",J5:J96,"&lt;=30")</f>
        <v>28999.8</v>
      </c>
      <c r="C102" s="6">
        <v>28999.8</v>
      </c>
      <c r="D102" s="5" t="str">
        <f>IF(ABS(B102-C102)&lt;0.01,"ok","DRIFT")</f>
        <v>ok</v>
      </c>
    </row>
    <row r="103" spans="1:4">
      <c r="A103" s="5" t="s">
        <v>29</v>
      </c>
      <c r="B103" s="6">
        <f>SUMIFS(G5:G96,H5:H96,"open",G5:G96,"&gt;0",J5:J96,"&gt;=31",J5:J96,"&lt;=60")+SUMIFS(G5:G96,H5:H96,"partial",G5:G96,"&gt;0",J5:J96,"&gt;=31",J5:J96,"&lt;=60")</f>
        <v>86305.5</v>
      </c>
      <c r="C103" s="6">
        <v>86305.5</v>
      </c>
      <c r="D103" s="5" t="str">
        <f>IF(ABS(B103-C103)&lt;0.01,"ok","DRIFT")</f>
        <v>ok</v>
      </c>
    </row>
    <row r="104" spans="1:4">
      <c r="A104" s="5" t="s">
        <v>30</v>
      </c>
      <c r="B104" s="6">
        <f>SUMIFS(G5:G96,H5:H96,"open",G5:G96,"&gt;0",J5:J96,"&gt;=61",J5:J96,"&lt;=90")+SUMIFS(G5:G96,H5:H96,"partial",G5:G96,"&gt;0",J5:J96,"&gt;=61",J5:J96,"&lt;=90")</f>
        <v>122743.8</v>
      </c>
      <c r="C104" s="6">
        <v>122743.8</v>
      </c>
      <c r="D104" s="5" t="str">
        <f>IF(ABS(B104-C104)&lt;0.01,"ok","DRIFT")</f>
        <v>ok</v>
      </c>
    </row>
    <row r="105" spans="1:4">
      <c r="A105" s="5" t="s">
        <v>31</v>
      </c>
      <c r="B105" s="6">
        <f>SUMIFS(G5:G96,H5:H96,"open",G5:G96,"&gt;0",J5:J96,"&gt;90")+SUMIFS(G5:G96,H5:H96,"partial",G5:G96,"&gt;0",J5:J96,"&gt;90")</f>
        <v>106373.76</v>
      </c>
      <c r="C105" s="6">
        <v>106373.76</v>
      </c>
      <c r="D105" s="5" t="str">
        <f>IF(ABS(B105-C105)&lt;0.01,"ok","DRIFT")</f>
        <v>ok</v>
      </c>
    </row>
    <row r="107" spans="1:4">
      <c r="A107" s="5" t="s">
        <v>312</v>
      </c>
      <c r="B107" s="6">
        <f>SUMIFS(G5:G96,H5:H96,"open",G5:G96,"&gt;0")+SUMIFS(G5:G96,H5:H96,"partial",G5:G96,"&gt;0")</f>
        <v>816924.6</v>
      </c>
    </row>
    <row r="108" spans="1:4">
      <c r="A108" s="5" t="s">
        <v>313</v>
      </c>
      <c r="B108" s="6">
        <f>SUMIFS(G5:G96,E5:E96,"&gt;="&amp;(AS_OF-365),E5:E96,"&lt;="&amp;AS_OF,G5:G96,"&gt;0")</f>
        <v>4028361.96</v>
      </c>
    </row>
    <row r="109" spans="1:4">
      <c r="A109" s="10" t="s">
        <v>314</v>
      </c>
      <c r="B109" s="7">
        <f>ROUND(B107/B108*365,1)</f>
        <v>74.0</v>
      </c>
      <c r="C109" s="2" t="s">
        <v>315</v>
      </c>
    </row>
    <row r="110" spans="1:4">
      <c r="A110" s="5" t="s">
        <v>316</v>
      </c>
      <c r="B110" s="5" t="s">
        <v>317</v>
      </c>
    </row>
  </sheetData>
  <conditionalFormatting sqref="H5:H96">
    <cfRule type="containsText" dxfId="0" priority="3" operator="containsText" text="paid">
      <formula>NOT(ISERROR(SEARCH("paid",H5)))</formula>
    </cfRule>
    <cfRule type="containsText" dxfId="3" priority="4" operator="containsText" text="void">
      <formula>NOT(ISERROR(SEARCH("void",H5)))</formula>
    </cfRule>
  </conditionalFormatting>
  <conditionalFormatting sqref="J5:J96">
    <cfRule type="cellIs" dxfId="1" priority="1" operator="greaterThan">
      <formula>90</formula>
    </cfRule>
    <cfRule type="cellIs" dxfId="2" priority="2" operator="between">
      <formula>31</formula>
      <formula>90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0.7109375" customWidth="1"/>
    <col min="3" max="4" width="14.7109375" customWidth="1"/>
    <col min="5" max="6" width="12.7109375" customWidth="1"/>
    <col min="7" max="7" width="13.7109375" customWidth="1"/>
    <col min="8" max="11" width="12.7109375" customWidth="1"/>
    <col min="12" max="12" width="42.7109375" customWidth="1"/>
  </cols>
  <sheetData>
    <row r="1" spans="1:12">
      <c r="A1" s="1" t="s">
        <v>318</v>
      </c>
    </row>
    <row r="2" spans="1:12">
      <c r="A2" s="2" t="s">
        <v>319</v>
      </c>
    </row>
    <row r="4" spans="1:12">
      <c r="A4" s="4" t="s">
        <v>320</v>
      </c>
      <c r="B4" s="4" t="s">
        <v>53</v>
      </c>
      <c r="C4" s="4" t="s">
        <v>321</v>
      </c>
      <c r="D4" s="4" t="s">
        <v>55</v>
      </c>
      <c r="E4" s="4" t="s">
        <v>322</v>
      </c>
      <c r="F4" s="4" t="s">
        <v>57</v>
      </c>
      <c r="G4" s="4" t="s">
        <v>58</v>
      </c>
      <c r="H4" s="4" t="s">
        <v>59</v>
      </c>
      <c r="I4" s="4" t="s">
        <v>60</v>
      </c>
      <c r="J4" s="4" t="s">
        <v>61</v>
      </c>
      <c r="K4" s="4" t="s">
        <v>62</v>
      </c>
      <c r="L4" s="4" t="s">
        <v>63</v>
      </c>
    </row>
    <row r="5" spans="1:12">
      <c r="A5" s="12" t="s">
        <v>323</v>
      </c>
      <c r="B5" s="5" t="s">
        <v>324</v>
      </c>
      <c r="C5" s="5" t="s">
        <v>325</v>
      </c>
      <c r="D5" s="12" t="s">
        <v>67</v>
      </c>
      <c r="E5" s="3">
        <v>45843</v>
      </c>
      <c r="F5" s="3">
        <v>45858</v>
      </c>
      <c r="G5" s="6">
        <v>12722.04</v>
      </c>
      <c r="H5" s="5" t="s">
        <v>68</v>
      </c>
      <c r="I5" s="3">
        <v>45872</v>
      </c>
      <c r="J5" s="8">
        <f>AS_OF-F5</f>
        <v>417</v>
      </c>
      <c r="K5" s="5" t="str">
        <f>IF(OR(AND(H5&lt;&gt;"open",H5&lt;&gt;"partial"),G5&lt;=0),"n/a",IF(J5&lt;0,"current",IF(J5&lt;=30,"0-30",IF(J5&lt;=60,"31-60",IF(J5&lt;=90,"61-90","90+")))))</f>
        <v>n/a</v>
      </c>
      <c r="L5" s="12" t="s">
        <v>326</v>
      </c>
    </row>
    <row r="6" spans="1:12">
      <c r="A6" s="12" t="s">
        <v>327</v>
      </c>
      <c r="B6" s="5" t="s">
        <v>328</v>
      </c>
      <c r="C6" s="5" t="s">
        <v>329</v>
      </c>
      <c r="D6" s="12" t="s">
        <v>76</v>
      </c>
      <c r="E6" s="3">
        <v>45845</v>
      </c>
      <c r="F6" s="3">
        <v>45860</v>
      </c>
      <c r="G6" s="6">
        <v>7503.48</v>
      </c>
      <c r="H6" s="5" t="s">
        <v>68</v>
      </c>
      <c r="I6" s="3">
        <v>45868</v>
      </c>
      <c r="J6" s="8">
        <f>AS_OF-F6</f>
        <v>415</v>
      </c>
      <c r="K6" s="5" t="str">
        <f>IF(OR(AND(H6&lt;&gt;"open",H6&lt;&gt;"partial"),G6&lt;=0),"n/a",IF(J6&lt;0,"current",IF(J6&lt;=30,"0-30",IF(J6&lt;=60,"31-60",IF(J6&lt;=90,"61-90","90+")))))</f>
        <v>n/a</v>
      </c>
      <c r="L6" s="12" t="s">
        <v>330</v>
      </c>
    </row>
    <row r="7" spans="1:12">
      <c r="A7" s="12" t="s">
        <v>331</v>
      </c>
      <c r="B7" s="5" t="s">
        <v>332</v>
      </c>
      <c r="C7" s="5" t="s">
        <v>325</v>
      </c>
      <c r="D7" s="12" t="s">
        <v>67</v>
      </c>
      <c r="E7" s="3">
        <v>45846</v>
      </c>
      <c r="F7" s="3">
        <v>45861</v>
      </c>
      <c r="G7" s="6">
        <v>11030.58</v>
      </c>
      <c r="H7" s="5" t="s">
        <v>68</v>
      </c>
      <c r="I7" s="3">
        <v>45876</v>
      </c>
      <c r="J7" s="8">
        <f>AS_OF-F7</f>
        <v>414</v>
      </c>
      <c r="K7" s="5" t="str">
        <f>IF(OR(AND(H7&lt;&gt;"open",H7&lt;&gt;"partial"),G7&lt;=0),"n/a",IF(J7&lt;0,"current",IF(J7&lt;=30,"0-30",IF(J7&lt;=60,"31-60",IF(J7&lt;=90,"61-90","90+")))))</f>
        <v>n/a</v>
      </c>
      <c r="L7" s="12" t="s">
        <v>333</v>
      </c>
    </row>
    <row r="8" spans="1:12">
      <c r="A8" s="12" t="s">
        <v>334</v>
      </c>
      <c r="B8" s="5" t="s">
        <v>332</v>
      </c>
      <c r="C8" s="5" t="s">
        <v>325</v>
      </c>
      <c r="D8" s="12" t="s">
        <v>76</v>
      </c>
      <c r="E8" s="3">
        <v>45852</v>
      </c>
      <c r="F8" s="3">
        <v>45867</v>
      </c>
      <c r="G8" s="6">
        <v>14028.48</v>
      </c>
      <c r="H8" s="5" t="s">
        <v>68</v>
      </c>
      <c r="I8" s="3">
        <v>45878</v>
      </c>
      <c r="J8" s="8">
        <f>AS_OF-F8</f>
        <v>408</v>
      </c>
      <c r="K8" s="5" t="str">
        <f>IF(OR(AND(H8&lt;&gt;"open",H8&lt;&gt;"partial"),G8&lt;=0),"n/a",IF(J8&lt;0,"current",IF(J8&lt;=30,"0-30",IF(J8&lt;=60,"31-60",IF(J8&lt;=90,"61-90","90+")))))</f>
        <v>n/a</v>
      </c>
      <c r="L8" s="12" t="s">
        <v>335</v>
      </c>
    </row>
    <row r="9" spans="1:12">
      <c r="A9" s="12" t="s">
        <v>336</v>
      </c>
      <c r="B9" s="5" t="s">
        <v>328</v>
      </c>
      <c r="C9" s="5" t="s">
        <v>329</v>
      </c>
      <c r="D9" s="12" t="s">
        <v>67</v>
      </c>
      <c r="E9" s="3">
        <v>45854</v>
      </c>
      <c r="F9" s="3">
        <v>45869</v>
      </c>
      <c r="G9" s="6">
        <v>5857.2</v>
      </c>
      <c r="H9" s="5" t="s">
        <v>68</v>
      </c>
      <c r="I9" s="3">
        <v>45881</v>
      </c>
      <c r="J9" s="8">
        <f>AS_OF-F9</f>
        <v>406</v>
      </c>
      <c r="K9" s="5" t="str">
        <f>IF(OR(AND(H9&lt;&gt;"open",H9&lt;&gt;"partial"),G9&lt;=0),"n/a",IF(J9&lt;0,"current",IF(J9&lt;=30,"0-30",IF(J9&lt;=60,"31-60",IF(J9&lt;=90,"61-90","90+")))))</f>
        <v>n/a</v>
      </c>
      <c r="L9" s="12" t="s">
        <v>337</v>
      </c>
    </row>
    <row r="10" spans="1:12">
      <c r="A10" s="12" t="s">
        <v>338</v>
      </c>
      <c r="B10" s="5" t="s">
        <v>339</v>
      </c>
      <c r="C10" s="5" t="s">
        <v>340</v>
      </c>
      <c r="D10" s="12" t="s">
        <v>76</v>
      </c>
      <c r="E10" s="3">
        <v>45841</v>
      </c>
      <c r="F10" s="3">
        <v>45871</v>
      </c>
      <c r="G10" s="6">
        <v>7582.5</v>
      </c>
      <c r="H10" s="5" t="s">
        <v>68</v>
      </c>
      <c r="I10" s="3">
        <v>45880</v>
      </c>
      <c r="J10" s="8">
        <f>AS_OF-F10</f>
        <v>404</v>
      </c>
      <c r="K10" s="5" t="str">
        <f>IF(OR(AND(H10&lt;&gt;"open",H10&lt;&gt;"partial"),G10&lt;=0),"n/a",IF(J10&lt;0,"current",IF(J10&lt;=30,"0-30",IF(J10&lt;=60,"31-60",IF(J10&lt;=90,"61-90","90+")))))</f>
        <v>n/a</v>
      </c>
      <c r="L10" s="12" t="s">
        <v>341</v>
      </c>
    </row>
    <row r="11" spans="1:12">
      <c r="A11" s="12" t="s">
        <v>342</v>
      </c>
      <c r="B11" s="5" t="s">
        <v>343</v>
      </c>
      <c r="C11" s="5" t="s">
        <v>329</v>
      </c>
      <c r="D11" s="12" t="s">
        <v>67</v>
      </c>
      <c r="E11" s="3">
        <v>45844</v>
      </c>
      <c r="F11" s="3">
        <v>45874</v>
      </c>
      <c r="G11" s="6">
        <v>11938.32</v>
      </c>
      <c r="H11" s="5" t="s">
        <v>68</v>
      </c>
      <c r="I11" s="3">
        <v>45888</v>
      </c>
      <c r="J11" s="8">
        <f>AS_OF-F11</f>
        <v>401</v>
      </c>
      <c r="K11" s="5" t="str">
        <f>IF(OR(AND(H11&lt;&gt;"open",H11&lt;&gt;"partial"),G11&lt;=0),"n/a",IF(J11&lt;0,"current",IF(J11&lt;=30,"0-30",IF(J11&lt;=60,"31-60",IF(J11&lt;=90,"61-90","90+")))))</f>
        <v>n/a</v>
      </c>
      <c r="L11" s="12" t="s">
        <v>344</v>
      </c>
    </row>
    <row r="12" spans="1:12">
      <c r="A12" s="12" t="s">
        <v>345</v>
      </c>
      <c r="B12" s="5" t="s">
        <v>346</v>
      </c>
      <c r="C12" s="5" t="s">
        <v>325</v>
      </c>
      <c r="D12" s="12" t="s">
        <v>72</v>
      </c>
      <c r="E12" s="3">
        <v>45873</v>
      </c>
      <c r="F12" s="3">
        <v>45880</v>
      </c>
      <c r="G12" s="6">
        <v>12682.8</v>
      </c>
      <c r="H12" s="5" t="s">
        <v>68</v>
      </c>
      <c r="I12" s="3">
        <v>45897</v>
      </c>
      <c r="J12" s="8">
        <f>AS_OF-F12</f>
        <v>395</v>
      </c>
      <c r="K12" s="5" t="str">
        <f>IF(OR(AND(H12&lt;&gt;"open",H12&lt;&gt;"partial"),G12&lt;=0),"n/a",IF(J12&lt;0,"current",IF(J12&lt;=30,"0-30",IF(J12&lt;=60,"31-60",IF(J12&lt;=90,"61-90","90+")))))</f>
        <v>n/a</v>
      </c>
      <c r="L12" s="12" t="s">
        <v>347</v>
      </c>
    </row>
    <row r="13" spans="1:12">
      <c r="A13" s="12" t="s">
        <v>348</v>
      </c>
      <c r="B13" s="5" t="s">
        <v>349</v>
      </c>
      <c r="C13" s="5" t="s">
        <v>340</v>
      </c>
      <c r="D13" s="12" t="s">
        <v>76</v>
      </c>
      <c r="E13" s="3">
        <v>45851</v>
      </c>
      <c r="F13" s="3">
        <v>45881</v>
      </c>
      <c r="G13" s="6">
        <v>6510.78</v>
      </c>
      <c r="H13" s="5" t="s">
        <v>68</v>
      </c>
      <c r="I13" s="3">
        <v>45891</v>
      </c>
      <c r="J13" s="8">
        <f>AS_OF-F13</f>
        <v>394</v>
      </c>
      <c r="K13" s="5" t="str">
        <f>IF(OR(AND(H13&lt;&gt;"open",H13&lt;&gt;"partial"),G13&lt;=0),"n/a",IF(J13&lt;0,"current",IF(J13&lt;=30,"0-30",IF(J13&lt;=60,"31-60",IF(J13&lt;=90,"61-90","90+")))))</f>
        <v>n/a</v>
      </c>
      <c r="L13" s="12" t="s">
        <v>350</v>
      </c>
    </row>
    <row r="14" spans="1:12">
      <c r="A14" s="12" t="s">
        <v>351</v>
      </c>
      <c r="B14" s="5" t="s">
        <v>352</v>
      </c>
      <c r="C14" s="5" t="s">
        <v>325</v>
      </c>
      <c r="D14" s="12" t="s">
        <v>67</v>
      </c>
      <c r="E14" s="3">
        <v>45874</v>
      </c>
      <c r="F14" s="3">
        <v>45881</v>
      </c>
      <c r="G14" s="6">
        <v>4806</v>
      </c>
      <c r="H14" s="5" t="s">
        <v>68</v>
      </c>
      <c r="I14" s="3">
        <v>45892</v>
      </c>
      <c r="J14" s="8">
        <f>AS_OF-F14</f>
        <v>394</v>
      </c>
      <c r="K14" s="5" t="str">
        <f>IF(OR(AND(H14&lt;&gt;"open",H14&lt;&gt;"partial"),G14&lt;=0),"n/a",IF(J14&lt;0,"current",IF(J14&lt;=30,"0-30",IF(J14&lt;=60,"31-60",IF(J14&lt;=90,"61-90","90+")))))</f>
        <v>n/a</v>
      </c>
      <c r="L14" s="12" t="s">
        <v>353</v>
      </c>
    </row>
    <row r="15" spans="1:12">
      <c r="A15" s="12" t="s">
        <v>354</v>
      </c>
      <c r="B15" s="5" t="s">
        <v>355</v>
      </c>
      <c r="C15" s="5" t="s">
        <v>356</v>
      </c>
      <c r="D15" s="12" t="s">
        <v>80</v>
      </c>
      <c r="E15" s="3">
        <v>45871</v>
      </c>
      <c r="F15" s="3">
        <v>45886</v>
      </c>
      <c r="G15" s="6">
        <v>3625.92</v>
      </c>
      <c r="H15" s="5" t="s">
        <v>68</v>
      </c>
      <c r="I15" s="3">
        <v>45894</v>
      </c>
      <c r="J15" s="8">
        <f>AS_OF-F15</f>
        <v>389</v>
      </c>
      <c r="K15" s="5" t="str">
        <f>IF(OR(AND(H15&lt;&gt;"open",H15&lt;&gt;"partial"),G15&lt;=0),"n/a",IF(J15&lt;0,"current",IF(J15&lt;=30,"0-30",IF(J15&lt;=60,"31-60",IF(J15&lt;=90,"61-90","90+")))))</f>
        <v>n/a</v>
      </c>
      <c r="L15" s="12" t="s">
        <v>357</v>
      </c>
    </row>
    <row r="16" spans="1:12">
      <c r="A16" s="12" t="s">
        <v>358</v>
      </c>
      <c r="B16" s="5" t="s">
        <v>355</v>
      </c>
      <c r="C16" s="5" t="s">
        <v>356</v>
      </c>
      <c r="D16" s="12" t="s">
        <v>76</v>
      </c>
      <c r="E16" s="3">
        <v>45872</v>
      </c>
      <c r="F16" s="3">
        <v>45887</v>
      </c>
      <c r="G16" s="6">
        <v>4055.4</v>
      </c>
      <c r="H16" s="5" t="s">
        <v>68</v>
      </c>
      <c r="I16" s="3">
        <v>45896</v>
      </c>
      <c r="J16" s="8">
        <f>AS_OF-F16</f>
        <v>388</v>
      </c>
      <c r="K16" s="5" t="str">
        <f>IF(OR(AND(H16&lt;&gt;"open",H16&lt;&gt;"partial"),G16&lt;=0),"n/a",IF(J16&lt;0,"current",IF(J16&lt;=30,"0-30",IF(J16&lt;=60,"31-60",IF(J16&lt;=90,"61-90","90+")))))</f>
        <v>n/a</v>
      </c>
      <c r="L16" s="12" t="s">
        <v>359</v>
      </c>
    </row>
    <row r="17" spans="1:12">
      <c r="A17" s="12" t="s">
        <v>360</v>
      </c>
      <c r="B17" s="5" t="s">
        <v>346</v>
      </c>
      <c r="C17" s="5" t="s">
        <v>325</v>
      </c>
      <c r="D17" s="12" t="s">
        <v>84</v>
      </c>
      <c r="E17" s="3">
        <v>45881</v>
      </c>
      <c r="F17" s="3">
        <v>45888</v>
      </c>
      <c r="G17" s="6">
        <v>9894.6</v>
      </c>
      <c r="H17" s="5" t="s">
        <v>68</v>
      </c>
      <c r="I17" s="3">
        <v>45906</v>
      </c>
      <c r="J17" s="8">
        <f>AS_OF-F17</f>
        <v>387</v>
      </c>
      <c r="K17" s="5" t="str">
        <f>IF(OR(AND(H17&lt;&gt;"open",H17&lt;&gt;"partial"),G17&lt;=0),"n/a",IF(J17&lt;0,"current",IF(J17&lt;=30,"0-30",IF(J17&lt;=60,"31-60",IF(J17&lt;=90,"61-90","90+")))))</f>
        <v>n/a</v>
      </c>
      <c r="L17" s="12" t="s">
        <v>361</v>
      </c>
    </row>
    <row r="18" spans="1:12">
      <c r="A18" s="12" t="s">
        <v>362</v>
      </c>
      <c r="B18" s="5" t="s">
        <v>363</v>
      </c>
      <c r="C18" s="5" t="s">
        <v>329</v>
      </c>
      <c r="D18" s="12" t="s">
        <v>76</v>
      </c>
      <c r="E18" s="3">
        <v>45861</v>
      </c>
      <c r="F18" s="3">
        <v>45891</v>
      </c>
      <c r="G18" s="6">
        <v>6116.04</v>
      </c>
      <c r="H18" s="5" t="s">
        <v>68</v>
      </c>
      <c r="I18" s="3">
        <v>45914</v>
      </c>
      <c r="J18" s="8">
        <f>AS_OF-F18</f>
        <v>384</v>
      </c>
      <c r="K18" s="5" t="str">
        <f>IF(OR(AND(H18&lt;&gt;"open",H18&lt;&gt;"partial"),G18&lt;=0),"n/a",IF(J18&lt;0,"current",IF(J18&lt;=30,"0-30",IF(J18&lt;=60,"31-60",IF(J18&lt;=90,"61-90","90+")))))</f>
        <v>n/a</v>
      </c>
      <c r="L18" s="12" t="s">
        <v>364</v>
      </c>
    </row>
    <row r="19" spans="1:12">
      <c r="A19" s="12" t="s">
        <v>365</v>
      </c>
      <c r="B19" s="5" t="s">
        <v>366</v>
      </c>
      <c r="C19" s="5" t="s">
        <v>329</v>
      </c>
      <c r="D19" s="12" t="s">
        <v>72</v>
      </c>
      <c r="E19" s="3">
        <v>45877</v>
      </c>
      <c r="F19" s="3">
        <v>45892</v>
      </c>
      <c r="G19" s="6">
        <v>23147.64</v>
      </c>
      <c r="H19" s="5" t="s">
        <v>68</v>
      </c>
      <c r="I19" s="3">
        <v>45903</v>
      </c>
      <c r="J19" s="8">
        <f>AS_OF-F19</f>
        <v>383</v>
      </c>
      <c r="K19" s="5" t="str">
        <f>IF(OR(AND(H19&lt;&gt;"open",H19&lt;&gt;"partial"),G19&lt;=0),"n/a",IF(J19&lt;0,"current",IF(J19&lt;=30,"0-30",IF(J19&lt;=60,"31-60",IF(J19&lt;=90,"61-90","90+")))))</f>
        <v>n/a</v>
      </c>
      <c r="L19" s="12" t="s">
        <v>367</v>
      </c>
    </row>
    <row r="20" spans="1:12">
      <c r="A20" s="12" t="s">
        <v>368</v>
      </c>
      <c r="B20" s="5" t="s">
        <v>369</v>
      </c>
      <c r="C20" s="5" t="s">
        <v>340</v>
      </c>
      <c r="D20" s="12" t="s">
        <v>67</v>
      </c>
      <c r="E20" s="3">
        <v>45865</v>
      </c>
      <c r="F20" s="3">
        <v>45895</v>
      </c>
      <c r="G20" s="6">
        <v>5576.76</v>
      </c>
      <c r="H20" s="5" t="s">
        <v>68</v>
      </c>
      <c r="I20" s="3">
        <v>45918</v>
      </c>
      <c r="J20" s="8">
        <f>AS_OF-F20</f>
        <v>380</v>
      </c>
      <c r="K20" s="5" t="str">
        <f>IF(OR(AND(H20&lt;&gt;"open",H20&lt;&gt;"partial"),G20&lt;=0),"n/a",IF(J20&lt;0,"current",IF(J20&lt;=30,"0-30",IF(J20&lt;=60,"31-60",IF(J20&lt;=90,"61-90","90+")))))</f>
        <v>n/a</v>
      </c>
      <c r="L20" s="12" t="s">
        <v>370</v>
      </c>
    </row>
    <row r="21" spans="1:12">
      <c r="A21" s="12" t="s">
        <v>371</v>
      </c>
      <c r="B21" s="5" t="s">
        <v>352</v>
      </c>
      <c r="C21" s="5" t="s">
        <v>325</v>
      </c>
      <c r="D21" s="12" t="s">
        <v>72</v>
      </c>
      <c r="E21" s="3">
        <v>45888</v>
      </c>
      <c r="F21" s="3">
        <v>45895</v>
      </c>
      <c r="G21" s="6">
        <v>10125</v>
      </c>
      <c r="H21" s="5" t="s">
        <v>68</v>
      </c>
      <c r="I21" s="3">
        <v>45905</v>
      </c>
      <c r="J21" s="8">
        <f>AS_OF-F21</f>
        <v>380</v>
      </c>
      <c r="K21" s="5" t="str">
        <f>IF(OR(AND(H21&lt;&gt;"open",H21&lt;&gt;"partial"),G21&lt;=0),"n/a",IF(J21&lt;0,"current",IF(J21&lt;=30,"0-30",IF(J21&lt;=60,"31-60",IF(J21&lt;=90,"61-90","90+")))))</f>
        <v>n/a</v>
      </c>
      <c r="L21" s="12" t="s">
        <v>372</v>
      </c>
    </row>
    <row r="22" spans="1:12">
      <c r="A22" s="12" t="s">
        <v>373</v>
      </c>
      <c r="B22" s="5" t="s">
        <v>374</v>
      </c>
      <c r="C22" s="5" t="s">
        <v>375</v>
      </c>
      <c r="D22" s="12" t="s">
        <v>76</v>
      </c>
      <c r="E22" s="3">
        <v>45865</v>
      </c>
      <c r="F22" s="3">
        <v>45895</v>
      </c>
      <c r="G22" s="6">
        <v>4033.8</v>
      </c>
      <c r="H22" s="5" t="s">
        <v>68</v>
      </c>
      <c r="I22" s="3">
        <v>45909</v>
      </c>
      <c r="J22" s="8">
        <f>AS_OF-F22</f>
        <v>380</v>
      </c>
      <c r="K22" s="5" t="str">
        <f>IF(OR(AND(H22&lt;&gt;"open",H22&lt;&gt;"partial"),G22&lt;=0),"n/a",IF(J22&lt;0,"current",IF(J22&lt;=30,"0-30",IF(J22&lt;=60,"31-60",IF(J22&lt;=90,"61-90","90+")))))</f>
        <v>n/a</v>
      </c>
      <c r="L22" s="12" t="s">
        <v>376</v>
      </c>
    </row>
    <row r="23" spans="1:12">
      <c r="A23" s="12" t="s">
        <v>377</v>
      </c>
      <c r="B23" s="5" t="s">
        <v>332</v>
      </c>
      <c r="C23" s="5" t="s">
        <v>325</v>
      </c>
      <c r="D23" s="12" t="s">
        <v>94</v>
      </c>
      <c r="E23" s="3">
        <v>45881</v>
      </c>
      <c r="F23" s="3">
        <v>45896</v>
      </c>
      <c r="G23" s="6">
        <v>7312.14</v>
      </c>
      <c r="H23" s="5" t="s">
        <v>68</v>
      </c>
      <c r="I23" s="3">
        <v>45910</v>
      </c>
      <c r="J23" s="8">
        <f>AS_OF-F23</f>
        <v>379</v>
      </c>
      <c r="K23" s="5" t="str">
        <f>IF(OR(AND(H23&lt;&gt;"open",H23&lt;&gt;"partial"),G23&lt;=0),"n/a",IF(J23&lt;0,"current",IF(J23&lt;=30,"0-30",IF(J23&lt;=60,"31-60",IF(J23&lt;=90,"61-90","90+")))))</f>
        <v>n/a</v>
      </c>
      <c r="L23" s="12" t="s">
        <v>378</v>
      </c>
    </row>
    <row r="24" spans="1:12">
      <c r="A24" s="12" t="s">
        <v>379</v>
      </c>
      <c r="B24" s="5" t="s">
        <v>332</v>
      </c>
      <c r="C24" s="5" t="s">
        <v>325</v>
      </c>
      <c r="D24" s="12" t="s">
        <v>76</v>
      </c>
      <c r="E24" s="3">
        <v>45882</v>
      </c>
      <c r="F24" s="3">
        <v>45897</v>
      </c>
      <c r="G24" s="6">
        <v>15423.12</v>
      </c>
      <c r="H24" s="5" t="s">
        <v>68</v>
      </c>
      <c r="I24" s="3">
        <v>45906</v>
      </c>
      <c r="J24" s="8">
        <f>AS_OF-F24</f>
        <v>378</v>
      </c>
      <c r="K24" s="5" t="str">
        <f>IF(OR(AND(H24&lt;&gt;"open",H24&lt;&gt;"partial"),G24&lt;=0),"n/a",IF(J24&lt;0,"current",IF(J24&lt;=30,"0-30",IF(J24&lt;=60,"31-60",IF(J24&lt;=90,"61-90","90+")))))</f>
        <v>n/a</v>
      </c>
      <c r="L24" s="12" t="s">
        <v>380</v>
      </c>
    </row>
    <row r="25" spans="1:12">
      <c r="A25" s="12" t="s">
        <v>381</v>
      </c>
      <c r="B25" s="5" t="s">
        <v>374</v>
      </c>
      <c r="C25" s="5" t="s">
        <v>375</v>
      </c>
      <c r="D25" s="12" t="s">
        <v>76</v>
      </c>
      <c r="E25" s="3">
        <v>45868</v>
      </c>
      <c r="F25" s="3">
        <v>45898</v>
      </c>
      <c r="G25" s="6">
        <v>4570.92</v>
      </c>
      <c r="H25" s="5" t="s">
        <v>68</v>
      </c>
      <c r="I25" s="3">
        <v>45922</v>
      </c>
      <c r="J25" s="8">
        <f>AS_OF-F25</f>
        <v>377</v>
      </c>
      <c r="K25" s="5" t="str">
        <f>IF(OR(AND(H25&lt;&gt;"open",H25&lt;&gt;"partial"),G25&lt;=0),"n/a",IF(J25&lt;0,"current",IF(J25&lt;=30,"0-30",IF(J25&lt;=60,"31-60",IF(J25&lt;=90,"61-90","90+")))))</f>
        <v>n/a</v>
      </c>
      <c r="L25" s="12" t="s">
        <v>382</v>
      </c>
    </row>
    <row r="26" spans="1:12">
      <c r="A26" s="12" t="s">
        <v>383</v>
      </c>
      <c r="B26" s="5" t="s">
        <v>384</v>
      </c>
      <c r="C26" s="5" t="s">
        <v>375</v>
      </c>
      <c r="D26" s="12" t="s">
        <v>80</v>
      </c>
      <c r="E26" s="3">
        <v>45883</v>
      </c>
      <c r="F26" s="3">
        <v>45898</v>
      </c>
      <c r="G26" s="6">
        <v>3754.98</v>
      </c>
      <c r="H26" s="5" t="s">
        <v>68</v>
      </c>
      <c r="I26" s="3">
        <v>45911</v>
      </c>
      <c r="J26" s="8">
        <f>AS_OF-F26</f>
        <v>377</v>
      </c>
      <c r="K26" s="5" t="str">
        <f>IF(OR(AND(H26&lt;&gt;"open",H26&lt;&gt;"partial"),G26&lt;=0),"n/a",IF(J26&lt;0,"current",IF(J26&lt;=30,"0-30",IF(J26&lt;=60,"31-60",IF(J26&lt;=90,"61-90","90+")))))</f>
        <v>n/a</v>
      </c>
      <c r="L26" s="12" t="s">
        <v>385</v>
      </c>
    </row>
    <row r="27" spans="1:12">
      <c r="A27" s="12" t="s">
        <v>386</v>
      </c>
      <c r="B27" s="5" t="s">
        <v>352</v>
      </c>
      <c r="C27" s="5" t="s">
        <v>325</v>
      </c>
      <c r="D27" s="12" t="s">
        <v>94</v>
      </c>
      <c r="E27" s="3">
        <v>45892</v>
      </c>
      <c r="F27" s="3">
        <v>45899</v>
      </c>
      <c r="G27" s="6">
        <v>17596.44</v>
      </c>
      <c r="H27" s="5" t="s">
        <v>68</v>
      </c>
      <c r="I27" s="3">
        <v>45918</v>
      </c>
      <c r="J27" s="8">
        <f>AS_OF-F27</f>
        <v>376</v>
      </c>
      <c r="K27" s="5" t="str">
        <f>IF(OR(AND(H27&lt;&gt;"open",H27&lt;&gt;"partial"),G27&lt;=0),"n/a",IF(J27&lt;0,"current",IF(J27&lt;=30,"0-30",IF(J27&lt;=60,"31-60",IF(J27&lt;=90,"61-90","90+")))))</f>
        <v>n/a</v>
      </c>
      <c r="L27" s="12" t="s">
        <v>387</v>
      </c>
    </row>
    <row r="28" spans="1:12">
      <c r="A28" s="12" t="s">
        <v>388</v>
      </c>
      <c r="B28" s="5" t="s">
        <v>352</v>
      </c>
      <c r="C28" s="5" t="s">
        <v>325</v>
      </c>
      <c r="D28" s="12" t="s">
        <v>80</v>
      </c>
      <c r="E28" s="3">
        <v>45893</v>
      </c>
      <c r="F28" s="3">
        <v>45900</v>
      </c>
      <c r="G28" s="6">
        <v>9978.84</v>
      </c>
      <c r="H28" s="5" t="s">
        <v>68</v>
      </c>
      <c r="I28" s="3">
        <v>45916</v>
      </c>
      <c r="J28" s="8">
        <f>AS_OF-F28</f>
        <v>375</v>
      </c>
      <c r="K28" s="5" t="str">
        <f>IF(OR(AND(H28&lt;&gt;"open",H28&lt;&gt;"partial"),G28&lt;=0),"n/a",IF(J28&lt;0,"current",IF(J28&lt;=30,"0-30",IF(J28&lt;=60,"31-60",IF(J28&lt;=90,"61-90","90+")))))</f>
        <v>n/a</v>
      </c>
      <c r="L28" s="12" t="s">
        <v>389</v>
      </c>
    </row>
    <row r="29" spans="1:12">
      <c r="A29" s="12" t="s">
        <v>390</v>
      </c>
      <c r="B29" s="5" t="s">
        <v>346</v>
      </c>
      <c r="C29" s="5" t="s">
        <v>325</v>
      </c>
      <c r="D29" s="12" t="s">
        <v>80</v>
      </c>
      <c r="E29" s="3">
        <v>45896</v>
      </c>
      <c r="F29" s="3">
        <v>45903</v>
      </c>
      <c r="G29" s="6">
        <v>4247.1</v>
      </c>
      <c r="H29" s="5" t="s">
        <v>68</v>
      </c>
      <c r="I29" s="3">
        <v>45917</v>
      </c>
      <c r="J29" s="8">
        <f>AS_OF-F29</f>
        <v>372</v>
      </c>
      <c r="K29" s="5" t="str">
        <f>IF(OR(AND(H29&lt;&gt;"open",H29&lt;&gt;"partial"),G29&lt;=0),"n/a",IF(J29&lt;0,"current",IF(J29&lt;=30,"0-30",IF(J29&lt;=60,"31-60",IF(J29&lt;=90,"61-90","90+")))))</f>
        <v>n/a</v>
      </c>
      <c r="L29" s="12" t="s">
        <v>391</v>
      </c>
    </row>
    <row r="30" spans="1:12">
      <c r="A30" s="12" t="s">
        <v>392</v>
      </c>
      <c r="B30" s="5" t="s">
        <v>393</v>
      </c>
      <c r="C30" s="5" t="s">
        <v>356</v>
      </c>
      <c r="D30" s="12" t="s">
        <v>72</v>
      </c>
      <c r="E30" s="3">
        <v>45874</v>
      </c>
      <c r="F30" s="3">
        <v>45904</v>
      </c>
      <c r="G30" s="6">
        <v>3700.26</v>
      </c>
      <c r="H30" s="5" t="s">
        <v>68</v>
      </c>
      <c r="I30" s="3">
        <v>45924</v>
      </c>
      <c r="J30" s="8">
        <f>AS_OF-F30</f>
        <v>371</v>
      </c>
      <c r="K30" s="5" t="str">
        <f>IF(OR(AND(H30&lt;&gt;"open",H30&lt;&gt;"partial"),G30&lt;=0),"n/a",IF(J30&lt;0,"current",IF(J30&lt;=30,"0-30",IF(J30&lt;=60,"31-60",IF(J30&lt;=90,"61-90","90+")))))</f>
        <v>n/a</v>
      </c>
      <c r="L30" s="12" t="s">
        <v>394</v>
      </c>
    </row>
    <row r="31" spans="1:12">
      <c r="A31" s="12" t="s">
        <v>395</v>
      </c>
      <c r="B31" s="5" t="s">
        <v>396</v>
      </c>
      <c r="C31" s="5" t="s">
        <v>356</v>
      </c>
      <c r="D31" s="12" t="s">
        <v>67</v>
      </c>
      <c r="E31" s="3">
        <v>45878</v>
      </c>
      <c r="F31" s="3">
        <v>45908</v>
      </c>
      <c r="G31" s="6">
        <v>3772.62</v>
      </c>
      <c r="H31" s="5" t="s">
        <v>68</v>
      </c>
      <c r="I31" s="3">
        <v>45916</v>
      </c>
      <c r="J31" s="8">
        <f>AS_OF-F31</f>
        <v>367</v>
      </c>
      <c r="K31" s="5" t="str">
        <f>IF(OR(AND(H31&lt;&gt;"open",H31&lt;&gt;"partial"),G31&lt;=0),"n/a",IF(J31&lt;0,"current",IF(J31&lt;=30,"0-30",IF(J31&lt;=60,"31-60",IF(J31&lt;=90,"61-90","90+")))))</f>
        <v>n/a</v>
      </c>
      <c r="L31" s="12" t="s">
        <v>397</v>
      </c>
    </row>
    <row r="32" spans="1:12">
      <c r="A32" s="12" t="s">
        <v>398</v>
      </c>
      <c r="B32" s="5" t="s">
        <v>399</v>
      </c>
      <c r="C32" s="5" t="s">
        <v>375</v>
      </c>
      <c r="D32" s="12" t="s">
        <v>67</v>
      </c>
      <c r="E32" s="3">
        <v>45894</v>
      </c>
      <c r="F32" s="3">
        <v>45909</v>
      </c>
      <c r="G32" s="6">
        <v>3672</v>
      </c>
      <c r="H32" s="5" t="s">
        <v>68</v>
      </c>
      <c r="I32" s="3">
        <v>45916</v>
      </c>
      <c r="J32" s="8">
        <f>AS_OF-F32</f>
        <v>366</v>
      </c>
      <c r="K32" s="5" t="str">
        <f>IF(OR(AND(H32&lt;&gt;"open",H32&lt;&gt;"partial"),G32&lt;=0),"n/a",IF(J32&lt;0,"current",IF(J32&lt;=30,"0-30",IF(J32&lt;=60,"31-60",IF(J32&lt;=90,"61-90","90+")))))</f>
        <v>n/a</v>
      </c>
      <c r="L32" s="12" t="s">
        <v>400</v>
      </c>
    </row>
    <row r="33" spans="1:12">
      <c r="A33" s="12" t="s">
        <v>401</v>
      </c>
      <c r="B33" s="5" t="s">
        <v>402</v>
      </c>
      <c r="C33" s="5" t="s">
        <v>329</v>
      </c>
      <c r="D33" s="12" t="s">
        <v>84</v>
      </c>
      <c r="E33" s="3">
        <v>45895</v>
      </c>
      <c r="F33" s="3">
        <v>45910</v>
      </c>
      <c r="G33" s="6">
        <v>18905.76</v>
      </c>
      <c r="H33" s="5" t="s">
        <v>68</v>
      </c>
      <c r="I33" s="3">
        <v>45923</v>
      </c>
      <c r="J33" s="8">
        <f>AS_OF-F33</f>
        <v>365</v>
      </c>
      <c r="K33" s="5" t="str">
        <f>IF(OR(AND(H33&lt;&gt;"open",H33&lt;&gt;"partial"),G33&lt;=0),"n/a",IF(J33&lt;0,"current",IF(J33&lt;=30,"0-30",IF(J33&lt;=60,"31-60",IF(J33&lt;=90,"61-90","90+")))))</f>
        <v>n/a</v>
      </c>
      <c r="L33" s="12" t="s">
        <v>403</v>
      </c>
    </row>
    <row r="34" spans="1:12">
      <c r="A34" s="12" t="s">
        <v>404</v>
      </c>
      <c r="B34" s="5" t="s">
        <v>405</v>
      </c>
      <c r="C34" s="5" t="s">
        <v>340</v>
      </c>
      <c r="D34" s="12" t="s">
        <v>67</v>
      </c>
      <c r="E34" s="3">
        <v>45880</v>
      </c>
      <c r="F34" s="3">
        <v>45910</v>
      </c>
      <c r="G34" s="6">
        <v>5846.4</v>
      </c>
      <c r="H34" s="5" t="s">
        <v>68</v>
      </c>
      <c r="I34" s="3">
        <v>45921</v>
      </c>
      <c r="J34" s="8">
        <f>AS_OF-F34</f>
        <v>365</v>
      </c>
      <c r="K34" s="5" t="str">
        <f>IF(OR(AND(H34&lt;&gt;"open",H34&lt;&gt;"partial"),G34&lt;=0),"n/a",IF(J34&lt;0,"current",IF(J34&lt;=30,"0-30",IF(J34&lt;=60,"31-60",IF(J34&lt;=90,"61-90","90+")))))</f>
        <v>n/a</v>
      </c>
      <c r="L34" s="12" t="s">
        <v>406</v>
      </c>
    </row>
    <row r="35" spans="1:12">
      <c r="A35" s="12" t="s">
        <v>407</v>
      </c>
      <c r="B35" s="5" t="s">
        <v>405</v>
      </c>
      <c r="C35" s="5" t="s">
        <v>340</v>
      </c>
      <c r="D35" s="12" t="s">
        <v>80</v>
      </c>
      <c r="E35" s="3">
        <v>45881</v>
      </c>
      <c r="F35" s="3">
        <v>45911</v>
      </c>
      <c r="G35" s="6">
        <v>8219.52</v>
      </c>
      <c r="H35" s="5" t="s">
        <v>68</v>
      </c>
      <c r="I35" s="3">
        <v>45917</v>
      </c>
      <c r="J35" s="8">
        <f>AS_OF-F35</f>
        <v>364</v>
      </c>
      <c r="K35" s="5" t="str">
        <f>IF(OR(AND(H35&lt;&gt;"open",H35&lt;&gt;"partial"),G35&lt;=0),"n/a",IF(J35&lt;0,"current",IF(J35&lt;=30,"0-30",IF(J35&lt;=60,"31-60",IF(J35&lt;=90,"61-90","90+")))))</f>
        <v>n/a</v>
      </c>
      <c r="L35" s="12" t="s">
        <v>408</v>
      </c>
    </row>
    <row r="36" spans="1:12">
      <c r="A36" s="12" t="s">
        <v>409</v>
      </c>
      <c r="B36" s="5" t="s">
        <v>410</v>
      </c>
      <c r="C36" s="5" t="s">
        <v>340</v>
      </c>
      <c r="D36" s="12" t="s">
        <v>94</v>
      </c>
      <c r="E36" s="3">
        <v>45882</v>
      </c>
      <c r="F36" s="3">
        <v>45912</v>
      </c>
      <c r="G36" s="6">
        <v>6251.94</v>
      </c>
      <c r="H36" s="5" t="s">
        <v>68</v>
      </c>
      <c r="I36" s="3">
        <v>45919</v>
      </c>
      <c r="J36" s="8">
        <f>AS_OF-F36</f>
        <v>363</v>
      </c>
      <c r="K36" s="5" t="str">
        <f>IF(OR(AND(H36&lt;&gt;"open",H36&lt;&gt;"partial"),G36&lt;=0),"n/a",IF(J36&lt;0,"current",IF(J36&lt;=30,"0-30",IF(J36&lt;=60,"31-60",IF(J36&lt;=90,"61-90","90+")))))</f>
        <v>n/a</v>
      </c>
      <c r="L36" s="12" t="s">
        <v>411</v>
      </c>
    </row>
    <row r="37" spans="1:12">
      <c r="A37" s="12" t="s">
        <v>412</v>
      </c>
      <c r="B37" s="5" t="s">
        <v>393</v>
      </c>
      <c r="C37" s="5" t="s">
        <v>356</v>
      </c>
      <c r="D37" s="12" t="s">
        <v>67</v>
      </c>
      <c r="E37" s="3">
        <v>45883</v>
      </c>
      <c r="F37" s="3">
        <v>45913</v>
      </c>
      <c r="G37" s="6">
        <v>3672.36</v>
      </c>
      <c r="H37" s="5" t="s">
        <v>68</v>
      </c>
      <c r="I37" s="3">
        <v>45937</v>
      </c>
      <c r="J37" s="8">
        <f>AS_OF-F37</f>
        <v>362</v>
      </c>
      <c r="K37" s="5" t="str">
        <f>IF(OR(AND(H37&lt;&gt;"open",H37&lt;&gt;"partial"),G37&lt;=0),"n/a",IF(J37&lt;0,"current",IF(J37&lt;=30,"0-30",IF(J37&lt;=60,"31-60",IF(J37&lt;=90,"61-90","90+")))))</f>
        <v>n/a</v>
      </c>
      <c r="L37" s="12" t="s">
        <v>413</v>
      </c>
    </row>
    <row r="38" spans="1:12">
      <c r="A38" s="12" t="s">
        <v>414</v>
      </c>
      <c r="B38" s="5" t="s">
        <v>363</v>
      </c>
      <c r="C38" s="5" t="s">
        <v>329</v>
      </c>
      <c r="D38" s="12" t="s">
        <v>94</v>
      </c>
      <c r="E38" s="3">
        <v>45885</v>
      </c>
      <c r="F38" s="3">
        <v>45915</v>
      </c>
      <c r="G38" s="6">
        <v>10677.06</v>
      </c>
      <c r="H38" s="5" t="s">
        <v>68</v>
      </c>
      <c r="I38" s="3">
        <v>45925</v>
      </c>
      <c r="J38" s="8">
        <f>AS_OF-F38</f>
        <v>360</v>
      </c>
      <c r="K38" s="5" t="str">
        <f>IF(OR(AND(H38&lt;&gt;"open",H38&lt;&gt;"partial"),G38&lt;=0),"n/a",IF(J38&lt;0,"current",IF(J38&lt;=30,"0-30",IF(J38&lt;=60,"31-60",IF(J38&lt;=90,"61-90","90+")))))</f>
        <v>n/a</v>
      </c>
      <c r="L38" s="12" t="s">
        <v>415</v>
      </c>
    </row>
    <row r="39" spans="1:12">
      <c r="A39" s="12" t="s">
        <v>416</v>
      </c>
      <c r="B39" s="5" t="s">
        <v>324</v>
      </c>
      <c r="C39" s="5" t="s">
        <v>325</v>
      </c>
      <c r="D39" s="12" t="s">
        <v>97</v>
      </c>
      <c r="E39" s="3">
        <v>45900</v>
      </c>
      <c r="F39" s="3">
        <v>45915</v>
      </c>
      <c r="G39" s="6">
        <v>19716.66</v>
      </c>
      <c r="H39" s="5" t="s">
        <v>68</v>
      </c>
      <c r="I39" s="3">
        <v>45928</v>
      </c>
      <c r="J39" s="8">
        <f>AS_OF-F39</f>
        <v>360</v>
      </c>
      <c r="K39" s="5" t="str">
        <f>IF(OR(AND(H39&lt;&gt;"open",H39&lt;&gt;"partial"),G39&lt;=0),"n/a",IF(J39&lt;0,"current",IF(J39&lt;=30,"0-30",IF(J39&lt;=60,"31-60",IF(J39&lt;=90,"61-90","90+")))))</f>
        <v>n/a</v>
      </c>
      <c r="L39" s="12" t="s">
        <v>417</v>
      </c>
    </row>
    <row r="40" spans="1:12">
      <c r="A40" s="12" t="s">
        <v>418</v>
      </c>
      <c r="B40" s="5" t="s">
        <v>419</v>
      </c>
      <c r="C40" s="5" t="s">
        <v>375</v>
      </c>
      <c r="D40" s="12" t="s">
        <v>67</v>
      </c>
      <c r="E40" s="3">
        <v>45885</v>
      </c>
      <c r="F40" s="3">
        <v>45915</v>
      </c>
      <c r="G40" s="6">
        <v>3901.5</v>
      </c>
      <c r="H40" s="5" t="s">
        <v>68</v>
      </c>
      <c r="I40" s="3">
        <v>45931</v>
      </c>
      <c r="J40" s="8">
        <f>AS_OF-F40</f>
        <v>360</v>
      </c>
      <c r="K40" s="5" t="str">
        <f>IF(OR(AND(H40&lt;&gt;"open",H40&lt;&gt;"partial"),G40&lt;=0),"n/a",IF(J40&lt;0,"current",IF(J40&lt;=30,"0-30",IF(J40&lt;=60,"31-60",IF(J40&lt;=90,"61-90","90+")))))</f>
        <v>n/a</v>
      </c>
      <c r="L40" s="12" t="s">
        <v>420</v>
      </c>
    </row>
    <row r="41" spans="1:12">
      <c r="A41" s="12" t="s">
        <v>421</v>
      </c>
      <c r="B41" s="5" t="s">
        <v>396</v>
      </c>
      <c r="C41" s="5" t="s">
        <v>356</v>
      </c>
      <c r="D41" s="12" t="s">
        <v>84</v>
      </c>
      <c r="E41" s="3">
        <v>45886</v>
      </c>
      <c r="F41" s="3">
        <v>45916</v>
      </c>
      <c r="G41" s="6">
        <v>4398.12</v>
      </c>
      <c r="H41" s="5" t="s">
        <v>68</v>
      </c>
      <c r="I41" s="3">
        <v>45934</v>
      </c>
      <c r="J41" s="8">
        <f>AS_OF-F41</f>
        <v>359</v>
      </c>
      <c r="K41" s="5" t="str">
        <f>IF(OR(AND(H41&lt;&gt;"open",H41&lt;&gt;"partial"),G41&lt;=0),"n/a",IF(J41&lt;0,"current",IF(J41&lt;=30,"0-30",IF(J41&lt;=60,"31-60",IF(J41&lt;=90,"61-90","90+")))))</f>
        <v>n/a</v>
      </c>
      <c r="L41" s="12" t="s">
        <v>422</v>
      </c>
    </row>
    <row r="42" spans="1:12">
      <c r="A42" s="12" t="s">
        <v>423</v>
      </c>
      <c r="B42" s="5" t="s">
        <v>396</v>
      </c>
      <c r="C42" s="5" t="s">
        <v>356</v>
      </c>
      <c r="D42" s="12" t="s">
        <v>80</v>
      </c>
      <c r="E42" s="3">
        <v>45886</v>
      </c>
      <c r="F42" s="3">
        <v>45916</v>
      </c>
      <c r="G42" s="6">
        <v>4240.8</v>
      </c>
      <c r="H42" s="5" t="s">
        <v>68</v>
      </c>
      <c r="I42" s="3">
        <v>45931</v>
      </c>
      <c r="J42" s="8">
        <f>AS_OF-F42</f>
        <v>359</v>
      </c>
      <c r="K42" s="5" t="str">
        <f>IF(OR(AND(H42&lt;&gt;"open",H42&lt;&gt;"partial"),G42&lt;=0),"n/a",IF(J42&lt;0,"current",IF(J42&lt;=30,"0-30",IF(J42&lt;=60,"31-60",IF(J42&lt;=90,"61-90","90+")))))</f>
        <v>n/a</v>
      </c>
      <c r="L42" s="12" t="s">
        <v>424</v>
      </c>
    </row>
    <row r="43" spans="1:12">
      <c r="A43" s="12" t="s">
        <v>425</v>
      </c>
      <c r="B43" s="5" t="s">
        <v>426</v>
      </c>
      <c r="C43" s="5" t="s">
        <v>375</v>
      </c>
      <c r="D43" s="12" t="s">
        <v>94</v>
      </c>
      <c r="E43" s="3">
        <v>45902</v>
      </c>
      <c r="F43" s="3">
        <v>45917</v>
      </c>
      <c r="G43" s="6">
        <v>3622.5</v>
      </c>
      <c r="H43" s="5" t="s">
        <v>68</v>
      </c>
      <c r="I43" s="3">
        <v>45941</v>
      </c>
      <c r="J43" s="8">
        <f>AS_OF-F43</f>
        <v>358</v>
      </c>
      <c r="K43" s="5" t="str">
        <f>IF(OR(AND(H43&lt;&gt;"open",H43&lt;&gt;"partial"),G43&lt;=0),"n/a",IF(J43&lt;0,"current",IF(J43&lt;=30,"0-30",IF(J43&lt;=60,"31-60",IF(J43&lt;=90,"61-90","90+")))))</f>
        <v>n/a</v>
      </c>
      <c r="L43" s="12" t="s">
        <v>427</v>
      </c>
    </row>
    <row r="44" spans="1:12">
      <c r="A44" s="12" t="s">
        <v>428</v>
      </c>
      <c r="B44" s="5" t="s">
        <v>393</v>
      </c>
      <c r="C44" s="5" t="s">
        <v>356</v>
      </c>
      <c r="D44" s="12" t="s">
        <v>72</v>
      </c>
      <c r="E44" s="3">
        <v>45887</v>
      </c>
      <c r="F44" s="3">
        <v>45917</v>
      </c>
      <c r="G44" s="6">
        <v>6468.3</v>
      </c>
      <c r="H44" s="5" t="s">
        <v>68</v>
      </c>
      <c r="I44" s="3">
        <v>45929</v>
      </c>
      <c r="J44" s="8">
        <f>AS_OF-F44</f>
        <v>358</v>
      </c>
      <c r="K44" s="5" t="str">
        <f>IF(OR(AND(H44&lt;&gt;"open",H44&lt;&gt;"partial"),G44&lt;=0),"n/a",IF(J44&lt;0,"current",IF(J44&lt;=30,"0-30",IF(J44&lt;=60,"31-60",IF(J44&lt;=90,"61-90","90+")))))</f>
        <v>n/a</v>
      </c>
      <c r="L44" s="12" t="s">
        <v>429</v>
      </c>
    </row>
    <row r="45" spans="1:12">
      <c r="A45" s="12" t="s">
        <v>430</v>
      </c>
      <c r="B45" s="5" t="s">
        <v>405</v>
      </c>
      <c r="C45" s="5" t="s">
        <v>340</v>
      </c>
      <c r="D45" s="12" t="s">
        <v>80</v>
      </c>
      <c r="E45" s="3">
        <v>45888</v>
      </c>
      <c r="F45" s="3">
        <v>45918</v>
      </c>
      <c r="G45" s="6">
        <v>5448.96</v>
      </c>
      <c r="H45" s="5" t="s">
        <v>68</v>
      </c>
      <c r="I45" s="3">
        <v>45930</v>
      </c>
      <c r="J45" s="8">
        <f>AS_OF-F45</f>
        <v>357</v>
      </c>
      <c r="K45" s="5" t="str">
        <f>IF(OR(AND(H45&lt;&gt;"open",H45&lt;&gt;"partial"),G45&lt;=0),"n/a",IF(J45&lt;0,"current",IF(J45&lt;=30,"0-30",IF(J45&lt;=60,"31-60",IF(J45&lt;=90,"61-90","90+")))))</f>
        <v>n/a</v>
      </c>
      <c r="L45" s="12" t="s">
        <v>431</v>
      </c>
    </row>
    <row r="46" spans="1:12">
      <c r="A46" s="12" t="s">
        <v>432</v>
      </c>
      <c r="B46" s="5" t="s">
        <v>384</v>
      </c>
      <c r="C46" s="5" t="s">
        <v>375</v>
      </c>
      <c r="D46" s="12" t="s">
        <v>97</v>
      </c>
      <c r="E46" s="3">
        <v>45904</v>
      </c>
      <c r="F46" s="3">
        <v>45919</v>
      </c>
      <c r="G46" s="6">
        <v>4377.96</v>
      </c>
      <c r="H46" s="5" t="s">
        <v>68</v>
      </c>
      <c r="I46" s="3">
        <v>45948</v>
      </c>
      <c r="J46" s="8">
        <f>AS_OF-F46</f>
        <v>356</v>
      </c>
      <c r="K46" s="5" t="str">
        <f>IF(OR(AND(H46&lt;&gt;"open",H46&lt;&gt;"partial"),G46&lt;=0),"n/a",IF(J46&lt;0,"current",IF(J46&lt;=30,"0-30",IF(J46&lt;=60,"31-60",IF(J46&lt;=90,"61-90","90+")))))</f>
        <v>n/a</v>
      </c>
      <c r="L46" s="12" t="s">
        <v>433</v>
      </c>
    </row>
    <row r="47" spans="1:12">
      <c r="A47" s="12" t="s">
        <v>434</v>
      </c>
      <c r="B47" s="5" t="s">
        <v>324</v>
      </c>
      <c r="C47" s="5" t="s">
        <v>325</v>
      </c>
      <c r="D47" s="12" t="s">
        <v>80</v>
      </c>
      <c r="E47" s="3">
        <v>45905</v>
      </c>
      <c r="F47" s="3">
        <v>45920</v>
      </c>
      <c r="G47" s="6">
        <v>10139.04</v>
      </c>
      <c r="H47" s="5" t="s">
        <v>68</v>
      </c>
      <c r="I47" s="3">
        <v>45934</v>
      </c>
      <c r="J47" s="8">
        <f>AS_OF-F47</f>
        <v>355</v>
      </c>
      <c r="K47" s="5" t="str">
        <f>IF(OR(AND(H47&lt;&gt;"open",H47&lt;&gt;"partial"),G47&lt;=0),"n/a",IF(J47&lt;0,"current",IF(J47&lt;=30,"0-30",IF(J47&lt;=60,"31-60",IF(J47&lt;=90,"61-90","90+")))))</f>
        <v>n/a</v>
      </c>
      <c r="L47" s="12" t="s">
        <v>435</v>
      </c>
    </row>
    <row r="48" spans="1:12">
      <c r="A48" s="12" t="s">
        <v>436</v>
      </c>
      <c r="B48" s="5" t="s">
        <v>332</v>
      </c>
      <c r="C48" s="5" t="s">
        <v>325</v>
      </c>
      <c r="D48" s="12" t="s">
        <v>107</v>
      </c>
      <c r="E48" s="3">
        <v>45905</v>
      </c>
      <c r="F48" s="3">
        <v>45920</v>
      </c>
      <c r="G48" s="6">
        <v>10041.3</v>
      </c>
      <c r="H48" s="5" t="s">
        <v>68</v>
      </c>
      <c r="I48" s="3">
        <v>45932</v>
      </c>
      <c r="J48" s="8">
        <f>AS_OF-F48</f>
        <v>355</v>
      </c>
      <c r="K48" s="5" t="str">
        <f>IF(OR(AND(H48&lt;&gt;"open",H48&lt;&gt;"partial"),G48&lt;=0),"n/a",IF(J48&lt;0,"current",IF(J48&lt;=30,"0-30",IF(J48&lt;=60,"31-60",IF(J48&lt;=90,"61-90","90+")))))</f>
        <v>n/a</v>
      </c>
      <c r="L48" s="12" t="s">
        <v>437</v>
      </c>
    </row>
    <row r="49" spans="1:12">
      <c r="A49" s="12" t="s">
        <v>438</v>
      </c>
      <c r="B49" s="5" t="s">
        <v>346</v>
      </c>
      <c r="C49" s="5" t="s">
        <v>325</v>
      </c>
      <c r="D49" s="12" t="s">
        <v>94</v>
      </c>
      <c r="E49" s="3">
        <v>45913</v>
      </c>
      <c r="F49" s="3">
        <v>45920</v>
      </c>
      <c r="G49" s="6">
        <v>15568.92</v>
      </c>
      <c r="H49" s="5" t="s">
        <v>68</v>
      </c>
      <c r="I49" s="3">
        <v>45935</v>
      </c>
      <c r="J49" s="8">
        <f>AS_OF-F49</f>
        <v>355</v>
      </c>
      <c r="K49" s="5" t="str">
        <f>IF(OR(AND(H49&lt;&gt;"open",H49&lt;&gt;"partial"),G49&lt;=0),"n/a",IF(J49&lt;0,"current",IF(J49&lt;=30,"0-30",IF(J49&lt;=60,"31-60",IF(J49&lt;=90,"61-90","90+")))))</f>
        <v>n/a</v>
      </c>
      <c r="L49" s="12" t="s">
        <v>439</v>
      </c>
    </row>
    <row r="50" spans="1:12">
      <c r="A50" s="12" t="s">
        <v>440</v>
      </c>
      <c r="B50" s="5" t="s">
        <v>332</v>
      </c>
      <c r="C50" s="5" t="s">
        <v>325</v>
      </c>
      <c r="D50" s="12" t="s">
        <v>97</v>
      </c>
      <c r="E50" s="3">
        <v>45907</v>
      </c>
      <c r="F50" s="3">
        <v>45922</v>
      </c>
      <c r="G50" s="6">
        <v>9984.6</v>
      </c>
      <c r="H50" s="5" t="s">
        <v>68</v>
      </c>
      <c r="I50" s="3">
        <v>45944</v>
      </c>
      <c r="J50" s="8">
        <f>AS_OF-F50</f>
        <v>353</v>
      </c>
      <c r="K50" s="5" t="str">
        <f>IF(OR(AND(H50&lt;&gt;"open",H50&lt;&gt;"partial"),G50&lt;=0),"n/a",IF(J50&lt;0,"current",IF(J50&lt;=30,"0-30",IF(J50&lt;=60,"31-60",IF(J50&lt;=90,"61-90","90+")))))</f>
        <v>n/a</v>
      </c>
      <c r="L50" s="12" t="s">
        <v>441</v>
      </c>
    </row>
    <row r="51" spans="1:12">
      <c r="A51" s="12" t="s">
        <v>442</v>
      </c>
      <c r="B51" s="5" t="s">
        <v>443</v>
      </c>
      <c r="C51" s="5" t="s">
        <v>329</v>
      </c>
      <c r="D51" s="12" t="s">
        <v>94</v>
      </c>
      <c r="E51" s="3">
        <v>45907</v>
      </c>
      <c r="F51" s="3">
        <v>45922</v>
      </c>
      <c r="G51" s="6">
        <v>7858.8</v>
      </c>
      <c r="H51" s="5" t="s">
        <v>68</v>
      </c>
      <c r="I51" s="3">
        <v>45942</v>
      </c>
      <c r="J51" s="8">
        <f>AS_OF-F51</f>
        <v>353</v>
      </c>
      <c r="K51" s="5" t="str">
        <f>IF(OR(AND(H51&lt;&gt;"open",H51&lt;&gt;"partial"),G51&lt;=0),"n/a",IF(J51&lt;0,"current",IF(J51&lt;=30,"0-30",IF(J51&lt;=60,"31-60",IF(J51&lt;=90,"61-90","90+")))))</f>
        <v>n/a</v>
      </c>
      <c r="L51" s="12" t="s">
        <v>444</v>
      </c>
    </row>
    <row r="52" spans="1:12">
      <c r="A52" s="12" t="s">
        <v>445</v>
      </c>
      <c r="B52" s="5" t="s">
        <v>446</v>
      </c>
      <c r="C52" s="5" t="s">
        <v>356</v>
      </c>
      <c r="D52" s="12" t="s">
        <v>76</v>
      </c>
      <c r="E52" s="3">
        <v>45892</v>
      </c>
      <c r="F52" s="3">
        <v>45922</v>
      </c>
      <c r="G52" s="6">
        <v>4487.4</v>
      </c>
      <c r="H52" s="5" t="s">
        <v>68</v>
      </c>
      <c r="I52" s="3">
        <v>45943</v>
      </c>
      <c r="J52" s="8">
        <f>AS_OF-F52</f>
        <v>353</v>
      </c>
      <c r="K52" s="5" t="str">
        <f>IF(OR(AND(H52&lt;&gt;"open",H52&lt;&gt;"partial"),G52&lt;=0),"n/a",IF(J52&lt;0,"current",IF(J52&lt;=30,"0-30",IF(J52&lt;=60,"31-60",IF(J52&lt;=90,"61-90","90+")))))</f>
        <v>n/a</v>
      </c>
      <c r="L52" s="12" t="s">
        <v>447</v>
      </c>
    </row>
    <row r="53" spans="1:12">
      <c r="A53" s="12" t="s">
        <v>448</v>
      </c>
      <c r="B53" s="5" t="s">
        <v>443</v>
      </c>
      <c r="C53" s="5" t="s">
        <v>329</v>
      </c>
      <c r="D53" s="12" t="s">
        <v>107</v>
      </c>
      <c r="E53" s="3">
        <v>45909</v>
      </c>
      <c r="F53" s="3">
        <v>45924</v>
      </c>
      <c r="G53" s="6">
        <v>7718.76</v>
      </c>
      <c r="H53" s="5" t="s">
        <v>68</v>
      </c>
      <c r="I53" s="3">
        <v>45931</v>
      </c>
      <c r="J53" s="8">
        <f>AS_OF-F53</f>
        <v>351</v>
      </c>
      <c r="K53" s="5" t="str">
        <f>IF(OR(AND(H53&lt;&gt;"open",H53&lt;&gt;"partial"),G53&lt;=0),"n/a",IF(J53&lt;0,"current",IF(J53&lt;=30,"0-30",IF(J53&lt;=60,"31-60",IF(J53&lt;=90,"61-90","90+")))))</f>
        <v>n/a</v>
      </c>
      <c r="L53" s="12" t="s">
        <v>449</v>
      </c>
    </row>
    <row r="54" spans="1:12">
      <c r="A54" s="12" t="s">
        <v>450</v>
      </c>
      <c r="B54" s="5" t="s">
        <v>410</v>
      </c>
      <c r="C54" s="5" t="s">
        <v>340</v>
      </c>
      <c r="D54" s="12" t="s">
        <v>84</v>
      </c>
      <c r="E54" s="3">
        <v>45895</v>
      </c>
      <c r="F54" s="3">
        <v>45925</v>
      </c>
      <c r="G54" s="6">
        <v>3809.34</v>
      </c>
      <c r="H54" s="5" t="s">
        <v>68</v>
      </c>
      <c r="I54" s="3">
        <v>45945</v>
      </c>
      <c r="J54" s="8">
        <f>AS_OF-F54</f>
        <v>350</v>
      </c>
      <c r="K54" s="5" t="str">
        <f>IF(OR(AND(H54&lt;&gt;"open",H54&lt;&gt;"partial"),G54&lt;=0),"n/a",IF(J54&lt;0,"current",IF(J54&lt;=30,"0-30",IF(J54&lt;=60,"31-60",IF(J54&lt;=90,"61-90","90+")))))</f>
        <v>n/a</v>
      </c>
      <c r="L54" s="12" t="s">
        <v>451</v>
      </c>
    </row>
    <row r="55" spans="1:12">
      <c r="A55" s="12" t="s">
        <v>452</v>
      </c>
      <c r="B55" s="5" t="s">
        <v>402</v>
      </c>
      <c r="C55" s="5" t="s">
        <v>329</v>
      </c>
      <c r="D55" s="12" t="s">
        <v>107</v>
      </c>
      <c r="E55" s="3">
        <v>45911</v>
      </c>
      <c r="F55" s="3">
        <v>45926</v>
      </c>
      <c r="G55" s="6">
        <v>4651.2</v>
      </c>
      <c r="H55" s="5" t="s">
        <v>68</v>
      </c>
      <c r="I55" s="3">
        <v>45939</v>
      </c>
      <c r="J55" s="8">
        <f>AS_OF-F55</f>
        <v>349</v>
      </c>
      <c r="K55" s="5" t="str">
        <f>IF(OR(AND(H55&lt;&gt;"open",H55&lt;&gt;"partial"),G55&lt;=0),"n/a",IF(J55&lt;0,"current",IF(J55&lt;=30,"0-30",IF(J55&lt;=60,"31-60",IF(J55&lt;=90,"61-90","90+")))))</f>
        <v>n/a</v>
      </c>
      <c r="L55" s="12" t="s">
        <v>453</v>
      </c>
    </row>
    <row r="56" spans="1:12">
      <c r="A56" s="12" t="s">
        <v>454</v>
      </c>
      <c r="B56" s="5" t="s">
        <v>426</v>
      </c>
      <c r="C56" s="5" t="s">
        <v>375</v>
      </c>
      <c r="D56" s="12" t="s">
        <v>107</v>
      </c>
      <c r="E56" s="3">
        <v>45915</v>
      </c>
      <c r="F56" s="3">
        <v>45930</v>
      </c>
      <c r="G56" s="6">
        <v>3911.94</v>
      </c>
      <c r="H56" s="5" t="s">
        <v>68</v>
      </c>
      <c r="I56" s="3">
        <v>45941</v>
      </c>
      <c r="J56" s="8">
        <f>AS_OF-F56</f>
        <v>345</v>
      </c>
      <c r="K56" s="5" t="str">
        <f>IF(OR(AND(H56&lt;&gt;"open",H56&lt;&gt;"partial"),G56&lt;=0),"n/a",IF(J56&lt;0,"current",IF(J56&lt;=30,"0-30",IF(J56&lt;=60,"31-60",IF(J56&lt;=90,"61-90","90+")))))</f>
        <v>n/a</v>
      </c>
      <c r="L56" s="12" t="s">
        <v>455</v>
      </c>
    </row>
    <row r="57" spans="1:12">
      <c r="A57" s="12" t="s">
        <v>456</v>
      </c>
      <c r="B57" s="5" t="s">
        <v>443</v>
      </c>
      <c r="C57" s="5" t="s">
        <v>329</v>
      </c>
      <c r="D57" s="12" t="s">
        <v>80</v>
      </c>
      <c r="E57" s="3">
        <v>45915</v>
      </c>
      <c r="F57" s="3">
        <v>45930</v>
      </c>
      <c r="G57" s="6">
        <v>10344.6</v>
      </c>
      <c r="H57" s="5" t="s">
        <v>68</v>
      </c>
      <c r="I57" s="3">
        <v>45940</v>
      </c>
      <c r="J57" s="8">
        <f>AS_OF-F57</f>
        <v>345</v>
      </c>
      <c r="K57" s="5" t="str">
        <f>IF(OR(AND(H57&lt;&gt;"open",H57&lt;&gt;"partial"),G57&lt;=0),"n/a",IF(J57&lt;0,"current",IF(J57&lt;=30,"0-30",IF(J57&lt;=60,"31-60",IF(J57&lt;=90,"61-90","90+")))))</f>
        <v>n/a</v>
      </c>
      <c r="L57" s="12" t="s">
        <v>457</v>
      </c>
    </row>
    <row r="58" spans="1:12">
      <c r="A58" s="12" t="s">
        <v>458</v>
      </c>
      <c r="B58" s="5" t="s">
        <v>405</v>
      </c>
      <c r="C58" s="5" t="s">
        <v>340</v>
      </c>
      <c r="D58" s="12" t="s">
        <v>72</v>
      </c>
      <c r="E58" s="3">
        <v>45900</v>
      </c>
      <c r="F58" s="3">
        <v>45930</v>
      </c>
      <c r="G58" s="6">
        <v>6245.64</v>
      </c>
      <c r="H58" s="5" t="s">
        <v>68</v>
      </c>
      <c r="I58" s="3">
        <v>45950</v>
      </c>
      <c r="J58" s="8">
        <f>AS_OF-F58</f>
        <v>345</v>
      </c>
      <c r="K58" s="5" t="str">
        <f>IF(OR(AND(H58&lt;&gt;"open",H58&lt;&gt;"partial"),G58&lt;=0),"n/a",IF(J58&lt;0,"current",IF(J58&lt;=30,"0-30",IF(J58&lt;=60,"31-60",IF(J58&lt;=90,"61-90","90+")))))</f>
        <v>n/a</v>
      </c>
      <c r="L58" s="12" t="s">
        <v>459</v>
      </c>
    </row>
    <row r="59" spans="1:12">
      <c r="A59" s="12" t="s">
        <v>460</v>
      </c>
      <c r="B59" s="5" t="s">
        <v>339</v>
      </c>
      <c r="C59" s="5" t="s">
        <v>340</v>
      </c>
      <c r="D59" s="12" t="s">
        <v>107</v>
      </c>
      <c r="E59" s="3">
        <v>45900</v>
      </c>
      <c r="F59" s="3">
        <v>45930</v>
      </c>
      <c r="G59" s="6">
        <v>12171.6</v>
      </c>
      <c r="H59" s="5" t="s">
        <v>68</v>
      </c>
      <c r="I59" s="3">
        <v>45948</v>
      </c>
      <c r="J59" s="8">
        <f>AS_OF-F59</f>
        <v>345</v>
      </c>
      <c r="K59" s="5" t="str">
        <f>IF(OR(AND(H59&lt;&gt;"open",H59&lt;&gt;"partial"),G59&lt;=0),"n/a",IF(J59&lt;0,"current",IF(J59&lt;=30,"0-30",IF(J59&lt;=60,"31-60",IF(J59&lt;=90,"61-90","90+")))))</f>
        <v>n/a</v>
      </c>
      <c r="L59" s="12" t="s">
        <v>461</v>
      </c>
    </row>
    <row r="60" spans="1:12">
      <c r="A60" s="12" t="s">
        <v>462</v>
      </c>
      <c r="B60" s="5" t="s">
        <v>374</v>
      </c>
      <c r="C60" s="5" t="s">
        <v>375</v>
      </c>
      <c r="D60" s="12" t="s">
        <v>84</v>
      </c>
      <c r="E60" s="3">
        <v>45902</v>
      </c>
      <c r="F60" s="3">
        <v>45932</v>
      </c>
      <c r="G60" s="6">
        <v>4672.8</v>
      </c>
      <c r="H60" s="5" t="s">
        <v>68</v>
      </c>
      <c r="I60" s="3">
        <v>45940</v>
      </c>
      <c r="J60" s="8">
        <f>AS_OF-F60</f>
        <v>343</v>
      </c>
      <c r="K60" s="5" t="str">
        <f>IF(OR(AND(H60&lt;&gt;"open",H60&lt;&gt;"partial"),G60&lt;=0),"n/a",IF(J60&lt;0,"current",IF(J60&lt;=30,"0-30",IF(J60&lt;=60,"31-60",IF(J60&lt;=90,"61-90","90+")))))</f>
        <v>n/a</v>
      </c>
      <c r="L60" s="12" t="s">
        <v>463</v>
      </c>
    </row>
    <row r="61" spans="1:12">
      <c r="A61" s="12" t="s">
        <v>464</v>
      </c>
      <c r="B61" s="5" t="s">
        <v>339</v>
      </c>
      <c r="C61" s="5" t="s">
        <v>340</v>
      </c>
      <c r="D61" s="12" t="s">
        <v>72</v>
      </c>
      <c r="E61" s="3">
        <v>45902</v>
      </c>
      <c r="F61" s="3">
        <v>45932</v>
      </c>
      <c r="G61" s="6">
        <v>16998.12</v>
      </c>
      <c r="H61" s="5" t="s">
        <v>68</v>
      </c>
      <c r="I61" s="3">
        <v>45937</v>
      </c>
      <c r="J61" s="8">
        <f>AS_OF-F61</f>
        <v>343</v>
      </c>
      <c r="K61" s="5" t="str">
        <f>IF(OR(AND(H61&lt;&gt;"open",H61&lt;&gt;"partial"),G61&lt;=0),"n/a",IF(J61&lt;0,"current",IF(J61&lt;=30,"0-30",IF(J61&lt;=60,"31-60",IF(J61&lt;=90,"61-90","90+")))))</f>
        <v>n/a</v>
      </c>
      <c r="L61" s="12" t="s">
        <v>465</v>
      </c>
    </row>
    <row r="62" spans="1:12">
      <c r="A62" s="12" t="s">
        <v>466</v>
      </c>
      <c r="B62" s="5" t="s">
        <v>352</v>
      </c>
      <c r="C62" s="5" t="s">
        <v>325</v>
      </c>
      <c r="D62" s="12" t="s">
        <v>100</v>
      </c>
      <c r="E62" s="3">
        <v>45927</v>
      </c>
      <c r="F62" s="3">
        <v>45934</v>
      </c>
      <c r="G62" s="6">
        <v>13784.76</v>
      </c>
      <c r="H62" s="5" t="s">
        <v>68</v>
      </c>
      <c r="I62" s="3">
        <v>45954</v>
      </c>
      <c r="J62" s="8">
        <f>AS_OF-F62</f>
        <v>341</v>
      </c>
      <c r="K62" s="5" t="str">
        <f>IF(OR(AND(H62&lt;&gt;"open",H62&lt;&gt;"partial"),G62&lt;=0),"n/a",IF(J62&lt;0,"current",IF(J62&lt;=30,"0-30",IF(J62&lt;=60,"31-60",IF(J62&lt;=90,"61-90","90+")))))</f>
        <v>n/a</v>
      </c>
      <c r="L62" s="12" t="s">
        <v>467</v>
      </c>
    </row>
    <row r="63" spans="1:12">
      <c r="A63" s="12" t="s">
        <v>468</v>
      </c>
      <c r="B63" s="5" t="s">
        <v>352</v>
      </c>
      <c r="C63" s="5" t="s">
        <v>325</v>
      </c>
      <c r="D63" s="12" t="s">
        <v>84</v>
      </c>
      <c r="E63" s="3">
        <v>45928</v>
      </c>
      <c r="F63" s="3">
        <v>45935</v>
      </c>
      <c r="G63" s="6">
        <v>14685.48</v>
      </c>
      <c r="H63" s="5" t="s">
        <v>68</v>
      </c>
      <c r="I63" s="3">
        <v>45948</v>
      </c>
      <c r="J63" s="8">
        <f>AS_OF-F63</f>
        <v>340</v>
      </c>
      <c r="K63" s="5" t="str">
        <f>IF(OR(AND(H63&lt;&gt;"open",H63&lt;&gt;"partial"),G63&lt;=0),"n/a",IF(J63&lt;0,"current",IF(J63&lt;=30,"0-30",IF(J63&lt;=60,"31-60",IF(J63&lt;=90,"61-90","90+")))))</f>
        <v>n/a</v>
      </c>
      <c r="L63" s="12" t="s">
        <v>469</v>
      </c>
    </row>
    <row r="64" spans="1:12">
      <c r="A64" s="12" t="s">
        <v>470</v>
      </c>
      <c r="B64" s="5" t="s">
        <v>393</v>
      </c>
      <c r="C64" s="5" t="s">
        <v>356</v>
      </c>
      <c r="D64" s="12" t="s">
        <v>94</v>
      </c>
      <c r="E64" s="3">
        <v>45906</v>
      </c>
      <c r="F64" s="3">
        <v>45936</v>
      </c>
      <c r="G64" s="6">
        <v>4161.24</v>
      </c>
      <c r="H64" s="5" t="s">
        <v>68</v>
      </c>
      <c r="I64" s="3">
        <v>45948</v>
      </c>
      <c r="J64" s="8">
        <f>AS_OF-F64</f>
        <v>339</v>
      </c>
      <c r="K64" s="5" t="str">
        <f>IF(OR(AND(H64&lt;&gt;"open",H64&lt;&gt;"partial"),G64&lt;=0),"n/a",IF(J64&lt;0,"current",IF(J64&lt;=30,"0-30",IF(J64&lt;=60,"31-60",IF(J64&lt;=90,"61-90","90+")))))</f>
        <v>n/a</v>
      </c>
      <c r="L64" s="12" t="s">
        <v>471</v>
      </c>
    </row>
    <row r="65" spans="1:12">
      <c r="A65" s="12" t="s">
        <v>472</v>
      </c>
      <c r="B65" s="5" t="s">
        <v>402</v>
      </c>
      <c r="C65" s="5" t="s">
        <v>329</v>
      </c>
      <c r="D65" s="12" t="s">
        <v>80</v>
      </c>
      <c r="E65" s="3">
        <v>45921</v>
      </c>
      <c r="F65" s="3">
        <v>45936</v>
      </c>
      <c r="G65" s="6">
        <v>9883.620000000001</v>
      </c>
      <c r="H65" s="5" t="s">
        <v>68</v>
      </c>
      <c r="I65" s="3">
        <v>45948</v>
      </c>
      <c r="J65" s="8">
        <f>AS_OF-F65</f>
        <v>339</v>
      </c>
      <c r="K65" s="5" t="str">
        <f>IF(OR(AND(H65&lt;&gt;"open",H65&lt;&gt;"partial"),G65&lt;=0),"n/a",IF(J65&lt;0,"current",IF(J65&lt;=30,"0-30",IF(J65&lt;=60,"31-60",IF(J65&lt;=90,"61-90","90+")))))</f>
        <v>n/a</v>
      </c>
      <c r="L65" s="12" t="s">
        <v>473</v>
      </c>
    </row>
    <row r="66" spans="1:12">
      <c r="A66" s="12" t="s">
        <v>474</v>
      </c>
      <c r="B66" s="5" t="s">
        <v>363</v>
      </c>
      <c r="C66" s="5" t="s">
        <v>329</v>
      </c>
      <c r="D66" s="12" t="s">
        <v>72</v>
      </c>
      <c r="E66" s="3">
        <v>45907</v>
      </c>
      <c r="F66" s="3">
        <v>45937</v>
      </c>
      <c r="G66" s="6">
        <v>6228.18</v>
      </c>
      <c r="H66" s="5" t="s">
        <v>68</v>
      </c>
      <c r="I66" s="3">
        <v>45950</v>
      </c>
      <c r="J66" s="8">
        <f>AS_OF-F66</f>
        <v>338</v>
      </c>
      <c r="K66" s="5" t="str">
        <f>IF(OR(AND(H66&lt;&gt;"open",H66&lt;&gt;"partial"),G66&lt;=0),"n/a",IF(J66&lt;0,"current",IF(J66&lt;=30,"0-30",IF(J66&lt;=60,"31-60",IF(J66&lt;=90,"61-90","90+")))))</f>
        <v>n/a</v>
      </c>
      <c r="L66" s="12" t="s">
        <v>475</v>
      </c>
    </row>
    <row r="67" spans="1:12">
      <c r="A67" s="12" t="s">
        <v>476</v>
      </c>
      <c r="B67" s="5" t="s">
        <v>374</v>
      </c>
      <c r="C67" s="5" t="s">
        <v>375</v>
      </c>
      <c r="D67" s="12" t="s">
        <v>72</v>
      </c>
      <c r="E67" s="3">
        <v>45907</v>
      </c>
      <c r="F67" s="3">
        <v>45937</v>
      </c>
      <c r="G67" s="6">
        <v>4923.18</v>
      </c>
      <c r="H67" s="5" t="s">
        <v>68</v>
      </c>
      <c r="I67" s="3">
        <v>45952</v>
      </c>
      <c r="J67" s="8">
        <f>AS_OF-F67</f>
        <v>338</v>
      </c>
      <c r="K67" s="5" t="str">
        <f>IF(OR(AND(H67&lt;&gt;"open",H67&lt;&gt;"partial"),G67&lt;=0),"n/a",IF(J67&lt;0,"current",IF(J67&lt;=30,"0-30",IF(J67&lt;=60,"31-60",IF(J67&lt;=90,"61-90","90+")))))</f>
        <v>n/a</v>
      </c>
      <c r="L67" s="12" t="s">
        <v>477</v>
      </c>
    </row>
    <row r="68" spans="1:12">
      <c r="A68" s="12" t="s">
        <v>478</v>
      </c>
      <c r="B68" s="5" t="s">
        <v>346</v>
      </c>
      <c r="C68" s="5" t="s">
        <v>325</v>
      </c>
      <c r="D68" s="12" t="s">
        <v>110</v>
      </c>
      <c r="E68" s="3">
        <v>45932</v>
      </c>
      <c r="F68" s="3">
        <v>45939</v>
      </c>
      <c r="G68" s="6">
        <v>16956</v>
      </c>
      <c r="H68" s="5" t="s">
        <v>68</v>
      </c>
      <c r="I68" s="3">
        <v>45954</v>
      </c>
      <c r="J68" s="8">
        <f>AS_OF-F68</f>
        <v>336</v>
      </c>
      <c r="K68" s="5" t="str">
        <f>IF(OR(AND(H68&lt;&gt;"open",H68&lt;&gt;"partial"),G68&lt;=0),"n/a",IF(J68&lt;0,"current",IF(J68&lt;=30,"0-30",IF(J68&lt;=60,"31-60",IF(J68&lt;=90,"61-90","90+")))))</f>
        <v>n/a</v>
      </c>
      <c r="L68" s="12" t="s">
        <v>479</v>
      </c>
    </row>
    <row r="69" spans="1:12">
      <c r="A69" s="12" t="s">
        <v>480</v>
      </c>
      <c r="B69" s="5" t="s">
        <v>366</v>
      </c>
      <c r="C69" s="5" t="s">
        <v>329</v>
      </c>
      <c r="D69" s="12" t="s">
        <v>97</v>
      </c>
      <c r="E69" s="3">
        <v>45925</v>
      </c>
      <c r="F69" s="3">
        <v>45940</v>
      </c>
      <c r="G69" s="6">
        <v>5856.3</v>
      </c>
      <c r="H69" s="5" t="s">
        <v>68</v>
      </c>
      <c r="I69" s="3">
        <v>45946</v>
      </c>
      <c r="J69" s="8">
        <f>AS_OF-F69</f>
        <v>335</v>
      </c>
      <c r="K69" s="5" t="str">
        <f>IF(OR(AND(H69&lt;&gt;"open",H69&lt;&gt;"partial"),G69&lt;=0),"n/a",IF(J69&lt;0,"current",IF(J69&lt;=30,"0-30",IF(J69&lt;=60,"31-60",IF(J69&lt;=90,"61-90","90+")))))</f>
        <v>n/a</v>
      </c>
      <c r="L69" s="12" t="s">
        <v>481</v>
      </c>
    </row>
    <row r="70" spans="1:12">
      <c r="A70" s="12" t="s">
        <v>482</v>
      </c>
      <c r="B70" s="5" t="s">
        <v>384</v>
      </c>
      <c r="C70" s="5" t="s">
        <v>375</v>
      </c>
      <c r="D70" s="12" t="s">
        <v>94</v>
      </c>
      <c r="E70" s="3">
        <v>45926</v>
      </c>
      <c r="F70" s="3">
        <v>45941</v>
      </c>
      <c r="G70" s="6">
        <v>5318.1</v>
      </c>
      <c r="H70" s="5" t="s">
        <v>68</v>
      </c>
      <c r="I70" s="3">
        <v>45950</v>
      </c>
      <c r="J70" s="8">
        <f>AS_OF-F70</f>
        <v>334</v>
      </c>
      <c r="K70" s="5" t="str">
        <f>IF(OR(AND(H70&lt;&gt;"open",H70&lt;&gt;"partial"),G70&lt;=0),"n/a",IF(J70&lt;0,"current",IF(J70&lt;=30,"0-30",IF(J70&lt;=60,"31-60",IF(J70&lt;=90,"61-90","90+")))))</f>
        <v>n/a</v>
      </c>
      <c r="L70" s="12" t="s">
        <v>483</v>
      </c>
    </row>
    <row r="71" spans="1:12">
      <c r="A71" s="12" t="s">
        <v>484</v>
      </c>
      <c r="B71" s="5" t="s">
        <v>419</v>
      </c>
      <c r="C71" s="5" t="s">
        <v>375</v>
      </c>
      <c r="D71" s="12" t="s">
        <v>72</v>
      </c>
      <c r="E71" s="3">
        <v>45913</v>
      </c>
      <c r="F71" s="3">
        <v>45943</v>
      </c>
      <c r="G71" s="6">
        <v>3810.06</v>
      </c>
      <c r="H71" s="5" t="s">
        <v>68</v>
      </c>
      <c r="I71" s="3">
        <v>45965</v>
      </c>
      <c r="J71" s="8">
        <f>AS_OF-F71</f>
        <v>332</v>
      </c>
      <c r="K71" s="5" t="str">
        <f>IF(OR(AND(H71&lt;&gt;"open",H71&lt;&gt;"partial"),G71&lt;=0),"n/a",IF(J71&lt;0,"current",IF(J71&lt;=30,"0-30",IF(J71&lt;=60,"31-60",IF(J71&lt;=90,"61-90","90+")))))</f>
        <v>n/a</v>
      </c>
      <c r="L71" s="12" t="s">
        <v>485</v>
      </c>
    </row>
    <row r="72" spans="1:12">
      <c r="A72" s="12" t="s">
        <v>486</v>
      </c>
      <c r="B72" s="5" t="s">
        <v>419</v>
      </c>
      <c r="C72" s="5" t="s">
        <v>375</v>
      </c>
      <c r="D72" s="12" t="s">
        <v>80</v>
      </c>
      <c r="E72" s="3">
        <v>45914</v>
      </c>
      <c r="F72" s="3">
        <v>45944</v>
      </c>
      <c r="G72" s="6">
        <v>3736.8</v>
      </c>
      <c r="H72" s="5" t="s">
        <v>68</v>
      </c>
      <c r="I72" s="3">
        <v>45952</v>
      </c>
      <c r="J72" s="8">
        <f>AS_OF-F72</f>
        <v>331</v>
      </c>
      <c r="K72" s="5" t="str">
        <f>IF(OR(AND(H72&lt;&gt;"open",H72&lt;&gt;"partial"),G72&lt;=0),"n/a",IF(J72&lt;0,"current",IF(J72&lt;=30,"0-30",IF(J72&lt;=60,"31-60",IF(J72&lt;=90,"61-90","90+")))))</f>
        <v>n/a</v>
      </c>
      <c r="L72" s="12" t="s">
        <v>487</v>
      </c>
    </row>
    <row r="73" spans="1:12">
      <c r="A73" s="12" t="s">
        <v>488</v>
      </c>
      <c r="B73" s="5" t="s">
        <v>328</v>
      </c>
      <c r="C73" s="5" t="s">
        <v>329</v>
      </c>
      <c r="D73" s="12" t="s">
        <v>84</v>
      </c>
      <c r="E73" s="3">
        <v>45930</v>
      </c>
      <c r="F73" s="3">
        <v>45945</v>
      </c>
      <c r="G73" s="6">
        <v>8286.120000000001</v>
      </c>
      <c r="H73" s="5" t="s">
        <v>68</v>
      </c>
      <c r="I73" s="3">
        <v>45957</v>
      </c>
      <c r="J73" s="8">
        <f>AS_OF-F73</f>
        <v>330</v>
      </c>
      <c r="K73" s="5" t="str">
        <f>IF(OR(AND(H73&lt;&gt;"open",H73&lt;&gt;"partial"),G73&lt;=0),"n/a",IF(J73&lt;0,"current",IF(J73&lt;=30,"0-30",IF(J73&lt;=60,"31-60",IF(J73&lt;=90,"61-90","90+")))))</f>
        <v>n/a</v>
      </c>
      <c r="L73" s="12" t="s">
        <v>489</v>
      </c>
    </row>
    <row r="74" spans="1:12">
      <c r="A74" s="12" t="s">
        <v>490</v>
      </c>
      <c r="B74" s="5" t="s">
        <v>352</v>
      </c>
      <c r="C74" s="5" t="s">
        <v>325</v>
      </c>
      <c r="D74" s="12" t="s">
        <v>97</v>
      </c>
      <c r="E74" s="3">
        <v>45938</v>
      </c>
      <c r="F74" s="3">
        <v>45945</v>
      </c>
      <c r="G74" s="6">
        <v>16233.12</v>
      </c>
      <c r="H74" s="5" t="s">
        <v>68</v>
      </c>
      <c r="I74" s="3">
        <v>45950</v>
      </c>
      <c r="J74" s="8">
        <f>AS_OF-F74</f>
        <v>330</v>
      </c>
      <c r="K74" s="5" t="str">
        <f>IF(OR(AND(H74&lt;&gt;"open",H74&lt;&gt;"partial"),G74&lt;=0),"n/a",IF(J74&lt;0,"current",IF(J74&lt;=30,"0-30",IF(J74&lt;=60,"31-60",IF(J74&lt;=90,"61-90","90+")))))</f>
        <v>n/a</v>
      </c>
      <c r="L74" s="12" t="s">
        <v>491</v>
      </c>
    </row>
    <row r="75" spans="1:12">
      <c r="A75" s="12" t="s">
        <v>492</v>
      </c>
      <c r="B75" s="5" t="s">
        <v>352</v>
      </c>
      <c r="C75" s="5" t="s">
        <v>325</v>
      </c>
      <c r="D75" s="12" t="s">
        <v>84</v>
      </c>
      <c r="E75" s="3">
        <v>45939</v>
      </c>
      <c r="F75" s="3">
        <v>45946</v>
      </c>
      <c r="G75" s="6">
        <v>14435.64</v>
      </c>
      <c r="H75" s="5" t="s">
        <v>68</v>
      </c>
      <c r="I75" s="3">
        <v>45956</v>
      </c>
      <c r="J75" s="8">
        <f>AS_OF-F75</f>
        <v>329</v>
      </c>
      <c r="K75" s="5" t="str">
        <f>IF(OR(AND(H75&lt;&gt;"open",H75&lt;&gt;"partial"),G75&lt;=0),"n/a",IF(J75&lt;0,"current",IF(J75&lt;=30,"0-30",IF(J75&lt;=60,"31-60",IF(J75&lt;=90,"61-90","90+")))))</f>
        <v>n/a</v>
      </c>
      <c r="L75" s="12" t="s">
        <v>493</v>
      </c>
    </row>
    <row r="76" spans="1:12">
      <c r="A76" s="12" t="s">
        <v>494</v>
      </c>
      <c r="B76" s="5" t="s">
        <v>384</v>
      </c>
      <c r="C76" s="5" t="s">
        <v>375</v>
      </c>
      <c r="D76" s="12" t="s">
        <v>84</v>
      </c>
      <c r="E76" s="3">
        <v>45933</v>
      </c>
      <c r="F76" s="3">
        <v>45948</v>
      </c>
      <c r="G76" s="6">
        <v>4965.3</v>
      </c>
      <c r="H76" s="5" t="s">
        <v>68</v>
      </c>
      <c r="I76" s="3">
        <v>45963</v>
      </c>
      <c r="J76" s="8">
        <f>AS_OF-F76</f>
        <v>327</v>
      </c>
      <c r="K76" s="5" t="str">
        <f>IF(OR(AND(H76&lt;&gt;"open",H76&lt;&gt;"partial"),G76&lt;=0),"n/a",IF(J76&lt;0,"current",IF(J76&lt;=30,"0-30",IF(J76&lt;=60,"31-60",IF(J76&lt;=90,"61-90","90+")))))</f>
        <v>n/a</v>
      </c>
      <c r="L76" s="12" t="s">
        <v>495</v>
      </c>
    </row>
    <row r="77" spans="1:12">
      <c r="A77" s="12" t="s">
        <v>496</v>
      </c>
      <c r="B77" s="5" t="s">
        <v>374</v>
      </c>
      <c r="C77" s="5" t="s">
        <v>375</v>
      </c>
      <c r="D77" s="12" t="s">
        <v>97</v>
      </c>
      <c r="E77" s="3">
        <v>45918</v>
      </c>
      <c r="F77" s="3">
        <v>45948</v>
      </c>
      <c r="G77" s="6">
        <v>3722.94</v>
      </c>
      <c r="H77" s="5" t="s">
        <v>68</v>
      </c>
      <c r="I77" s="3">
        <v>45961</v>
      </c>
      <c r="J77" s="8">
        <f>AS_OF-F77</f>
        <v>327</v>
      </c>
      <c r="K77" s="5" t="str">
        <f>IF(OR(AND(H77&lt;&gt;"open",H77&lt;&gt;"partial"),G77&lt;=0),"n/a",IF(J77&lt;0,"current",IF(J77&lt;=30,"0-30",IF(J77&lt;=60,"31-60",IF(J77&lt;=90,"61-90","90+")))))</f>
        <v>n/a</v>
      </c>
      <c r="L77" s="12" t="s">
        <v>497</v>
      </c>
    </row>
    <row r="78" spans="1:12">
      <c r="A78" s="12" t="s">
        <v>498</v>
      </c>
      <c r="B78" s="5" t="s">
        <v>399</v>
      </c>
      <c r="C78" s="5" t="s">
        <v>375</v>
      </c>
      <c r="D78" s="12" t="s">
        <v>107</v>
      </c>
      <c r="E78" s="3">
        <v>45933</v>
      </c>
      <c r="F78" s="3">
        <v>45948</v>
      </c>
      <c r="G78" s="6">
        <v>3794.94</v>
      </c>
      <c r="H78" s="5" t="s">
        <v>68</v>
      </c>
      <c r="I78" s="3">
        <v>45965</v>
      </c>
      <c r="J78" s="8">
        <f>AS_OF-F78</f>
        <v>327</v>
      </c>
      <c r="K78" s="5" t="str">
        <f>IF(OR(AND(H78&lt;&gt;"open",H78&lt;&gt;"partial"),G78&lt;=0),"n/a",IF(J78&lt;0,"current",IF(J78&lt;=30,"0-30",IF(J78&lt;=60,"31-60",IF(J78&lt;=90,"61-90","90+")))))</f>
        <v>n/a</v>
      </c>
      <c r="L78" s="12" t="s">
        <v>499</v>
      </c>
    </row>
    <row r="79" spans="1:12">
      <c r="A79" s="12" t="s">
        <v>500</v>
      </c>
      <c r="B79" s="5" t="s">
        <v>369</v>
      </c>
      <c r="C79" s="5" t="s">
        <v>340</v>
      </c>
      <c r="D79" s="12" t="s">
        <v>84</v>
      </c>
      <c r="E79" s="3">
        <v>45918</v>
      </c>
      <c r="F79" s="3">
        <v>45948</v>
      </c>
      <c r="G79" s="6">
        <v>4698</v>
      </c>
      <c r="H79" s="5" t="s">
        <v>149</v>
      </c>
      <c r="I79" s="5" t="s">
        <v>150</v>
      </c>
      <c r="J79" s="8">
        <f>AS_OF-F79</f>
        <v>327</v>
      </c>
      <c r="K79" s="5" t="str">
        <f>IF(OR(AND(H79&lt;&gt;"open",H79&lt;&gt;"partial"),G79&lt;=0),"n/a",IF(J79&lt;0,"current",IF(J79&lt;=30,"0-30",IF(J79&lt;=60,"31-60",IF(J79&lt;=90,"61-90","90+")))))</f>
        <v>n/a</v>
      </c>
      <c r="L79" s="12" t="s">
        <v>501</v>
      </c>
    </row>
    <row r="80" spans="1:12">
      <c r="A80" s="12" t="s">
        <v>502</v>
      </c>
      <c r="B80" s="5" t="s">
        <v>349</v>
      </c>
      <c r="C80" s="5" t="s">
        <v>340</v>
      </c>
      <c r="D80" s="12" t="s">
        <v>110</v>
      </c>
      <c r="E80" s="3">
        <v>45920</v>
      </c>
      <c r="F80" s="3">
        <v>45950</v>
      </c>
      <c r="G80" s="6">
        <v>6052.32</v>
      </c>
      <c r="H80" s="5" t="s">
        <v>68</v>
      </c>
      <c r="I80" s="3">
        <v>45976</v>
      </c>
      <c r="J80" s="8">
        <f>AS_OF-F80</f>
        <v>325</v>
      </c>
      <c r="K80" s="5" t="str">
        <f>IF(OR(AND(H80&lt;&gt;"open",H80&lt;&gt;"partial"),G80&lt;=0),"n/a",IF(J80&lt;0,"current",IF(J80&lt;=30,"0-30",IF(J80&lt;=60,"31-60",IF(J80&lt;=90,"61-90","90+")))))</f>
        <v>n/a</v>
      </c>
      <c r="L80" s="12" t="s">
        <v>503</v>
      </c>
    </row>
    <row r="81" spans="1:12">
      <c r="A81" s="12" t="s">
        <v>504</v>
      </c>
      <c r="B81" s="5" t="s">
        <v>328</v>
      </c>
      <c r="C81" s="5" t="s">
        <v>329</v>
      </c>
      <c r="D81" s="12" t="s">
        <v>97</v>
      </c>
      <c r="E81" s="3">
        <v>45936</v>
      </c>
      <c r="F81" s="3">
        <v>45951</v>
      </c>
      <c r="G81" s="6">
        <v>15647.04</v>
      </c>
      <c r="H81" s="5" t="s">
        <v>68</v>
      </c>
      <c r="I81" s="3">
        <v>45966</v>
      </c>
      <c r="J81" s="8">
        <f>AS_OF-F81</f>
        <v>324</v>
      </c>
      <c r="K81" s="5" t="str">
        <f>IF(OR(AND(H81&lt;&gt;"open",H81&lt;&gt;"partial"),G81&lt;=0),"n/a",IF(J81&lt;0,"current",IF(J81&lt;=30,"0-30",IF(J81&lt;=60,"31-60",IF(J81&lt;=90,"61-90","90+")))))</f>
        <v>n/a</v>
      </c>
      <c r="L81" s="12" t="s">
        <v>505</v>
      </c>
    </row>
    <row r="82" spans="1:12">
      <c r="A82" s="12" t="s">
        <v>506</v>
      </c>
      <c r="B82" s="5" t="s">
        <v>339</v>
      </c>
      <c r="C82" s="5" t="s">
        <v>340</v>
      </c>
      <c r="D82" s="12" t="s">
        <v>107</v>
      </c>
      <c r="E82" s="3">
        <v>45921</v>
      </c>
      <c r="F82" s="3">
        <v>45951</v>
      </c>
      <c r="G82" s="6">
        <v>6981.12</v>
      </c>
      <c r="H82" s="5" t="s">
        <v>68</v>
      </c>
      <c r="I82" s="3">
        <v>45969</v>
      </c>
      <c r="J82" s="8">
        <f>AS_OF-F82</f>
        <v>324</v>
      </c>
      <c r="K82" s="5" t="str">
        <f>IF(OR(AND(H82&lt;&gt;"open",H82&lt;&gt;"partial"),G82&lt;=0),"n/a",IF(J82&lt;0,"current",IF(J82&lt;=30,"0-30",IF(J82&lt;=60,"31-60",IF(J82&lt;=90,"61-90","90+")))))</f>
        <v>n/a</v>
      </c>
      <c r="L82" s="12" t="s">
        <v>507</v>
      </c>
    </row>
    <row r="83" spans="1:12">
      <c r="A83" s="12" t="s">
        <v>508</v>
      </c>
      <c r="B83" s="5" t="s">
        <v>402</v>
      </c>
      <c r="C83" s="5" t="s">
        <v>329</v>
      </c>
      <c r="D83" s="12" t="s">
        <v>100</v>
      </c>
      <c r="E83" s="3">
        <v>45937</v>
      </c>
      <c r="F83" s="3">
        <v>45952</v>
      </c>
      <c r="G83" s="6">
        <v>4705.38</v>
      </c>
      <c r="H83" s="5" t="s">
        <v>68</v>
      </c>
      <c r="I83" s="3">
        <v>45965</v>
      </c>
      <c r="J83" s="8">
        <f>AS_OF-F83</f>
        <v>323</v>
      </c>
      <c r="K83" s="5" t="str">
        <f>IF(OR(AND(H83&lt;&gt;"open",H83&lt;&gt;"partial"),G83&lt;=0),"n/a",IF(J83&lt;0,"current",IF(J83&lt;=30,"0-30",IF(J83&lt;=60,"31-60",IF(J83&lt;=90,"61-90","90+")))))</f>
        <v>n/a</v>
      </c>
      <c r="L83" s="12" t="s">
        <v>509</v>
      </c>
    </row>
    <row r="84" spans="1:12">
      <c r="A84" s="12" t="s">
        <v>510</v>
      </c>
      <c r="B84" s="5" t="s">
        <v>446</v>
      </c>
      <c r="C84" s="5" t="s">
        <v>356</v>
      </c>
      <c r="D84" s="12" t="s">
        <v>107</v>
      </c>
      <c r="E84" s="3">
        <v>45925</v>
      </c>
      <c r="F84" s="3">
        <v>45955</v>
      </c>
      <c r="G84" s="6">
        <v>3885.48</v>
      </c>
      <c r="H84" s="5" t="s">
        <v>68</v>
      </c>
      <c r="I84" s="3">
        <v>45964</v>
      </c>
      <c r="J84" s="8">
        <f>AS_OF-F84</f>
        <v>320</v>
      </c>
      <c r="K84" s="5" t="str">
        <f>IF(OR(AND(H84&lt;&gt;"open",H84&lt;&gt;"partial"),G84&lt;=0),"n/a",IF(J84&lt;0,"current",IF(J84&lt;=30,"0-30",IF(J84&lt;=60,"31-60",IF(J84&lt;=90,"61-90","90+")))))</f>
        <v>n/a</v>
      </c>
      <c r="L84" s="12" t="s">
        <v>511</v>
      </c>
    </row>
    <row r="85" spans="1:12">
      <c r="A85" s="12" t="s">
        <v>512</v>
      </c>
      <c r="B85" s="5" t="s">
        <v>369</v>
      </c>
      <c r="C85" s="5" t="s">
        <v>340</v>
      </c>
      <c r="D85" s="12" t="s">
        <v>110</v>
      </c>
      <c r="E85" s="3">
        <v>45926</v>
      </c>
      <c r="F85" s="3">
        <v>45956</v>
      </c>
      <c r="G85" s="6">
        <v>4001.4</v>
      </c>
      <c r="H85" s="5" t="s">
        <v>68</v>
      </c>
      <c r="I85" s="3">
        <v>45962</v>
      </c>
      <c r="J85" s="8">
        <f>AS_OF-F85</f>
        <v>319</v>
      </c>
      <c r="K85" s="5" t="str">
        <f>IF(OR(AND(H85&lt;&gt;"open",H85&lt;&gt;"partial"),G85&lt;=0),"n/a",IF(J85&lt;0,"current",IF(J85&lt;=30,"0-30",IF(J85&lt;=60,"31-60",IF(J85&lt;=90,"61-90","90+")))))</f>
        <v>n/a</v>
      </c>
      <c r="L85" s="12" t="s">
        <v>513</v>
      </c>
    </row>
    <row r="86" spans="1:12">
      <c r="A86" s="12" t="s">
        <v>514</v>
      </c>
      <c r="B86" s="5" t="s">
        <v>396</v>
      </c>
      <c r="C86" s="5" t="s">
        <v>356</v>
      </c>
      <c r="D86" s="12" t="s">
        <v>107</v>
      </c>
      <c r="E86" s="3">
        <v>45927</v>
      </c>
      <c r="F86" s="3">
        <v>45957</v>
      </c>
      <c r="G86" s="6">
        <v>3620.7</v>
      </c>
      <c r="H86" s="5" t="s">
        <v>68</v>
      </c>
      <c r="I86" s="3">
        <v>45968</v>
      </c>
      <c r="J86" s="8">
        <f>AS_OF-F86</f>
        <v>318</v>
      </c>
      <c r="K86" s="5" t="str">
        <f>IF(OR(AND(H86&lt;&gt;"open",H86&lt;&gt;"partial"),G86&lt;=0),"n/a",IF(J86&lt;0,"current",IF(J86&lt;=30,"0-30",IF(J86&lt;=60,"31-60",IF(J86&lt;=90,"61-90","90+")))))</f>
        <v>n/a</v>
      </c>
      <c r="L86" s="12" t="s">
        <v>515</v>
      </c>
    </row>
    <row r="87" spans="1:12">
      <c r="A87" s="12" t="s">
        <v>516</v>
      </c>
      <c r="B87" s="5" t="s">
        <v>346</v>
      </c>
      <c r="C87" s="5" t="s">
        <v>325</v>
      </c>
      <c r="D87" s="12" t="s">
        <v>107</v>
      </c>
      <c r="E87" s="3">
        <v>45951</v>
      </c>
      <c r="F87" s="3">
        <v>45958</v>
      </c>
      <c r="G87" s="6">
        <v>10906.38</v>
      </c>
      <c r="H87" s="5" t="s">
        <v>68</v>
      </c>
      <c r="I87" s="3">
        <v>45984</v>
      </c>
      <c r="J87" s="8">
        <f>AS_OF-F87</f>
        <v>317</v>
      </c>
      <c r="K87" s="5" t="str">
        <f>IF(OR(AND(H87&lt;&gt;"open",H87&lt;&gt;"partial"),G87&lt;=0),"n/a",IF(J87&lt;0,"current",IF(J87&lt;=30,"0-30",IF(J87&lt;=60,"31-60",IF(J87&lt;=90,"61-90","90+")))))</f>
        <v>n/a</v>
      </c>
      <c r="L87" s="12" t="s">
        <v>517</v>
      </c>
    </row>
    <row r="88" spans="1:12">
      <c r="A88" s="12" t="s">
        <v>518</v>
      </c>
      <c r="B88" s="5" t="s">
        <v>369</v>
      </c>
      <c r="C88" s="5" t="s">
        <v>340</v>
      </c>
      <c r="D88" s="12" t="s">
        <v>94</v>
      </c>
      <c r="E88" s="3">
        <v>45929</v>
      </c>
      <c r="F88" s="3">
        <v>45959</v>
      </c>
      <c r="G88" s="6">
        <v>6016.5</v>
      </c>
      <c r="H88" s="5" t="s">
        <v>68</v>
      </c>
      <c r="I88" s="3">
        <v>45974</v>
      </c>
      <c r="J88" s="8">
        <f>AS_OF-F88</f>
        <v>316</v>
      </c>
      <c r="K88" s="5" t="str">
        <f>IF(OR(AND(H88&lt;&gt;"open",H88&lt;&gt;"partial"),G88&lt;=0),"n/a",IF(J88&lt;0,"current",IF(J88&lt;=30,"0-30",IF(J88&lt;=60,"31-60",IF(J88&lt;=90,"61-90","90+")))))</f>
        <v>n/a</v>
      </c>
      <c r="L88" s="12" t="s">
        <v>519</v>
      </c>
    </row>
    <row r="89" spans="1:12">
      <c r="A89" s="12" t="s">
        <v>520</v>
      </c>
      <c r="B89" s="5" t="s">
        <v>346</v>
      </c>
      <c r="C89" s="5" t="s">
        <v>325</v>
      </c>
      <c r="D89" s="12" t="s">
        <v>128</v>
      </c>
      <c r="E89" s="3">
        <v>45956</v>
      </c>
      <c r="F89" s="3">
        <v>45963</v>
      </c>
      <c r="G89" s="6">
        <v>19404.9</v>
      </c>
      <c r="H89" s="5" t="s">
        <v>68</v>
      </c>
      <c r="I89" s="3">
        <v>45986</v>
      </c>
      <c r="J89" s="8">
        <f>AS_OF-F89</f>
        <v>312</v>
      </c>
      <c r="K89" s="5" t="str">
        <f>IF(OR(AND(H89&lt;&gt;"open",H89&lt;&gt;"partial"),G89&lt;=0),"n/a",IF(J89&lt;0,"current",IF(J89&lt;=30,"0-30",IF(J89&lt;=60,"31-60",IF(J89&lt;=90,"61-90","90+")))))</f>
        <v>n/a</v>
      </c>
      <c r="L89" s="12" t="s">
        <v>521</v>
      </c>
    </row>
    <row r="90" spans="1:12">
      <c r="A90" s="12" t="s">
        <v>522</v>
      </c>
      <c r="B90" s="5" t="s">
        <v>410</v>
      </c>
      <c r="C90" s="5" t="s">
        <v>340</v>
      </c>
      <c r="D90" s="12" t="s">
        <v>94</v>
      </c>
      <c r="E90" s="3">
        <v>45933</v>
      </c>
      <c r="F90" s="3">
        <v>45963</v>
      </c>
      <c r="G90" s="6">
        <v>3706.38</v>
      </c>
      <c r="H90" s="5" t="s">
        <v>68</v>
      </c>
      <c r="I90" s="3">
        <v>45971</v>
      </c>
      <c r="J90" s="8">
        <f>AS_OF-F90</f>
        <v>312</v>
      </c>
      <c r="K90" s="5" t="str">
        <f>IF(OR(AND(H90&lt;&gt;"open",H90&lt;&gt;"partial"),G90&lt;=0),"n/a",IF(J90&lt;0,"current",IF(J90&lt;=30,"0-30",IF(J90&lt;=60,"31-60",IF(J90&lt;=90,"61-90","90+")))))</f>
        <v>n/a</v>
      </c>
      <c r="L90" s="12" t="s">
        <v>523</v>
      </c>
    </row>
    <row r="91" spans="1:12">
      <c r="A91" s="12" t="s">
        <v>524</v>
      </c>
      <c r="B91" s="5" t="s">
        <v>393</v>
      </c>
      <c r="C91" s="5" t="s">
        <v>356</v>
      </c>
      <c r="D91" s="12" t="s">
        <v>84</v>
      </c>
      <c r="E91" s="3">
        <v>45933</v>
      </c>
      <c r="F91" s="3">
        <v>45963</v>
      </c>
      <c r="G91" s="6">
        <v>4421.16</v>
      </c>
      <c r="H91" s="5" t="s">
        <v>68</v>
      </c>
      <c r="I91" s="3">
        <v>45970</v>
      </c>
      <c r="J91" s="8">
        <f>AS_OF-F91</f>
        <v>312</v>
      </c>
      <c r="K91" s="5" t="str">
        <f>IF(OR(AND(H91&lt;&gt;"open",H91&lt;&gt;"partial"),G91&lt;=0),"n/a",IF(J91&lt;0,"current",IF(J91&lt;=30,"0-30",IF(J91&lt;=60,"31-60",IF(J91&lt;=90,"61-90","90+")))))</f>
        <v>n/a</v>
      </c>
      <c r="L91" s="12" t="s">
        <v>525</v>
      </c>
    </row>
    <row r="92" spans="1:12">
      <c r="A92" s="12" t="s">
        <v>526</v>
      </c>
      <c r="B92" s="5" t="s">
        <v>410</v>
      </c>
      <c r="C92" s="5" t="s">
        <v>340</v>
      </c>
      <c r="D92" s="12" t="s">
        <v>128</v>
      </c>
      <c r="E92" s="3">
        <v>45936</v>
      </c>
      <c r="F92" s="3">
        <v>45966</v>
      </c>
      <c r="G92" s="6">
        <v>6430.5</v>
      </c>
      <c r="H92" s="5" t="s">
        <v>68</v>
      </c>
      <c r="I92" s="3">
        <v>45973</v>
      </c>
      <c r="J92" s="8">
        <f>AS_OF-F92</f>
        <v>309</v>
      </c>
      <c r="K92" s="5" t="str">
        <f>IF(OR(AND(H92&lt;&gt;"open",H92&lt;&gt;"partial"),G92&lt;=0),"n/a",IF(J92&lt;0,"current",IF(J92&lt;=30,"0-30",IF(J92&lt;=60,"31-60",IF(J92&lt;=90,"61-90","90+")))))</f>
        <v>n/a</v>
      </c>
      <c r="L92" s="12" t="s">
        <v>527</v>
      </c>
    </row>
    <row r="93" spans="1:12">
      <c r="A93" s="12" t="s">
        <v>528</v>
      </c>
      <c r="B93" s="5" t="s">
        <v>419</v>
      </c>
      <c r="C93" s="5" t="s">
        <v>375</v>
      </c>
      <c r="D93" s="12" t="s">
        <v>110</v>
      </c>
      <c r="E93" s="3">
        <v>45936</v>
      </c>
      <c r="F93" s="3">
        <v>45966</v>
      </c>
      <c r="G93" s="6">
        <v>3888</v>
      </c>
      <c r="H93" s="5" t="s">
        <v>68</v>
      </c>
      <c r="I93" s="3">
        <v>45980</v>
      </c>
      <c r="J93" s="8">
        <f>AS_OF-F93</f>
        <v>309</v>
      </c>
      <c r="K93" s="5" t="str">
        <f>IF(OR(AND(H93&lt;&gt;"open",H93&lt;&gt;"partial"),G93&lt;=0),"n/a",IF(J93&lt;0,"current",IF(J93&lt;=30,"0-30",IF(J93&lt;=60,"31-60",IF(J93&lt;=90,"61-90","90+")))))</f>
        <v>n/a</v>
      </c>
      <c r="L93" s="12" t="s">
        <v>529</v>
      </c>
    </row>
    <row r="94" spans="1:12">
      <c r="A94" s="12" t="s">
        <v>530</v>
      </c>
      <c r="B94" s="5" t="s">
        <v>531</v>
      </c>
      <c r="C94" s="5" t="s">
        <v>375</v>
      </c>
      <c r="D94" s="12" t="s">
        <v>120</v>
      </c>
      <c r="E94" s="3">
        <v>45952</v>
      </c>
      <c r="F94" s="3">
        <v>45967</v>
      </c>
      <c r="G94" s="6">
        <v>4234.14</v>
      </c>
      <c r="H94" s="5" t="s">
        <v>68</v>
      </c>
      <c r="I94" s="3">
        <v>45983</v>
      </c>
      <c r="J94" s="8">
        <f>AS_OF-F94</f>
        <v>308</v>
      </c>
      <c r="K94" s="5" t="str">
        <f>IF(OR(AND(H94&lt;&gt;"open",H94&lt;&gt;"partial"),G94&lt;=0),"n/a",IF(J94&lt;0,"current",IF(J94&lt;=30,"0-30",IF(J94&lt;=60,"31-60",IF(J94&lt;=90,"61-90","90+")))))</f>
        <v>n/a</v>
      </c>
      <c r="L94" s="12" t="s">
        <v>532</v>
      </c>
    </row>
    <row r="95" spans="1:12">
      <c r="A95" s="12" t="s">
        <v>533</v>
      </c>
      <c r="B95" s="5" t="s">
        <v>534</v>
      </c>
      <c r="C95" s="5" t="s">
        <v>356</v>
      </c>
      <c r="D95" s="12" t="s">
        <v>94</v>
      </c>
      <c r="E95" s="3">
        <v>45938</v>
      </c>
      <c r="F95" s="3">
        <v>45968</v>
      </c>
      <c r="G95" s="6">
        <v>4307.4</v>
      </c>
      <c r="H95" s="5" t="s">
        <v>68</v>
      </c>
      <c r="I95" s="3">
        <v>45977</v>
      </c>
      <c r="J95" s="8">
        <f>AS_OF-F95</f>
        <v>307</v>
      </c>
      <c r="K95" s="5" t="str">
        <f>IF(OR(AND(H95&lt;&gt;"open",H95&lt;&gt;"partial"),G95&lt;=0),"n/a",IF(J95&lt;0,"current",IF(J95&lt;=30,"0-30",IF(J95&lt;=60,"31-60",IF(J95&lt;=90,"61-90","90+")))))</f>
        <v>n/a</v>
      </c>
      <c r="L95" s="12" t="s">
        <v>535</v>
      </c>
    </row>
    <row r="96" spans="1:12">
      <c r="A96" s="12" t="s">
        <v>536</v>
      </c>
      <c r="B96" s="5" t="s">
        <v>328</v>
      </c>
      <c r="C96" s="5" t="s">
        <v>329</v>
      </c>
      <c r="D96" s="12" t="s">
        <v>128</v>
      </c>
      <c r="E96" s="3">
        <v>45953</v>
      </c>
      <c r="F96" s="3">
        <v>45968</v>
      </c>
      <c r="G96" s="6">
        <v>11152.26</v>
      </c>
      <c r="H96" s="5" t="s">
        <v>68</v>
      </c>
      <c r="I96" s="3">
        <v>45975</v>
      </c>
      <c r="J96" s="8">
        <f>AS_OF-F96</f>
        <v>307</v>
      </c>
      <c r="K96" s="5" t="str">
        <f>IF(OR(AND(H96&lt;&gt;"open",H96&lt;&gt;"partial"),G96&lt;=0),"n/a",IF(J96&lt;0,"current",IF(J96&lt;=30,"0-30",IF(J96&lt;=60,"31-60",IF(J96&lt;=90,"61-90","90+")))))</f>
        <v>n/a</v>
      </c>
      <c r="L96" s="12" t="s">
        <v>537</v>
      </c>
    </row>
    <row r="97" spans="1:12">
      <c r="A97" s="12" t="s">
        <v>538</v>
      </c>
      <c r="B97" s="5" t="s">
        <v>366</v>
      </c>
      <c r="C97" s="5" t="s">
        <v>329</v>
      </c>
      <c r="D97" s="12" t="s">
        <v>116</v>
      </c>
      <c r="E97" s="3">
        <v>45956</v>
      </c>
      <c r="F97" s="3">
        <v>45971</v>
      </c>
      <c r="G97" s="6">
        <v>11344.68</v>
      </c>
      <c r="H97" s="5" t="s">
        <v>68</v>
      </c>
      <c r="I97" s="3">
        <v>46022</v>
      </c>
      <c r="J97" s="8">
        <f>AS_OF-F97</f>
        <v>304</v>
      </c>
      <c r="K97" s="5" t="str">
        <f>IF(OR(AND(H97&lt;&gt;"open",H97&lt;&gt;"partial"),G97&lt;=0),"n/a",IF(J97&lt;0,"current",IF(J97&lt;=30,"0-30",IF(J97&lt;=60,"31-60",IF(J97&lt;=90,"61-90","90+")))))</f>
        <v>n/a</v>
      </c>
      <c r="L97" s="12" t="s">
        <v>539</v>
      </c>
    </row>
    <row r="98" spans="1:12">
      <c r="A98" s="12" t="s">
        <v>540</v>
      </c>
      <c r="B98" s="5" t="s">
        <v>346</v>
      </c>
      <c r="C98" s="5" t="s">
        <v>325</v>
      </c>
      <c r="D98" s="12" t="s">
        <v>116</v>
      </c>
      <c r="E98" s="3">
        <v>45966</v>
      </c>
      <c r="F98" s="3">
        <v>45973</v>
      </c>
      <c r="G98" s="6">
        <v>14905.62</v>
      </c>
      <c r="H98" s="5" t="s">
        <v>68</v>
      </c>
      <c r="I98" s="3">
        <v>45981</v>
      </c>
      <c r="J98" s="8">
        <f>AS_OF-F98</f>
        <v>302</v>
      </c>
      <c r="K98" s="5" t="str">
        <f>IF(OR(AND(H98&lt;&gt;"open",H98&lt;&gt;"partial"),G98&lt;=0),"n/a",IF(J98&lt;0,"current",IF(J98&lt;=30,"0-30",IF(J98&lt;=60,"31-60",IF(J98&lt;=90,"61-90","90+")))))</f>
        <v>n/a</v>
      </c>
      <c r="L98" s="12" t="s">
        <v>541</v>
      </c>
    </row>
    <row r="99" spans="1:12">
      <c r="A99" s="12" t="s">
        <v>542</v>
      </c>
      <c r="B99" s="5" t="s">
        <v>543</v>
      </c>
      <c r="C99" s="5" t="s">
        <v>329</v>
      </c>
      <c r="D99" s="12" t="s">
        <v>110</v>
      </c>
      <c r="E99" s="3">
        <v>45944</v>
      </c>
      <c r="F99" s="3">
        <v>45974</v>
      </c>
      <c r="G99" s="6">
        <v>14563.26</v>
      </c>
      <c r="H99" s="5" t="s">
        <v>68</v>
      </c>
      <c r="I99" s="3">
        <v>45979</v>
      </c>
      <c r="J99" s="8">
        <f>AS_OF-F99</f>
        <v>301</v>
      </c>
      <c r="K99" s="5" t="str">
        <f>IF(OR(AND(H99&lt;&gt;"open",H99&lt;&gt;"partial"),G99&lt;=0),"n/a",IF(J99&lt;0,"current",IF(J99&lt;=30,"0-30",IF(J99&lt;=60,"31-60",IF(J99&lt;=90,"61-90","90+")))))</f>
        <v>n/a</v>
      </c>
      <c r="L99" s="12" t="s">
        <v>544</v>
      </c>
    </row>
    <row r="100" spans="1:12">
      <c r="A100" s="12" t="s">
        <v>545</v>
      </c>
      <c r="B100" s="5" t="s">
        <v>405</v>
      </c>
      <c r="C100" s="5" t="s">
        <v>340</v>
      </c>
      <c r="D100" s="12" t="s">
        <v>100</v>
      </c>
      <c r="E100" s="3">
        <v>45944</v>
      </c>
      <c r="F100" s="3">
        <v>45974</v>
      </c>
      <c r="G100" s="6">
        <v>6190.38</v>
      </c>
      <c r="H100" s="5" t="s">
        <v>68</v>
      </c>
      <c r="I100" s="3">
        <v>45994</v>
      </c>
      <c r="J100" s="8">
        <f>AS_OF-F100</f>
        <v>301</v>
      </c>
      <c r="K100" s="5" t="str">
        <f>IF(OR(AND(H100&lt;&gt;"open",H100&lt;&gt;"partial"),G100&lt;=0),"n/a",IF(J100&lt;0,"current",IF(J100&lt;=30,"0-30",IF(J100&lt;=60,"31-60",IF(J100&lt;=90,"61-90","90+")))))</f>
        <v>n/a</v>
      </c>
      <c r="L100" s="12" t="s">
        <v>546</v>
      </c>
    </row>
    <row r="101" spans="1:12">
      <c r="A101" s="12" t="s">
        <v>547</v>
      </c>
      <c r="B101" s="5" t="s">
        <v>399</v>
      </c>
      <c r="C101" s="5" t="s">
        <v>375</v>
      </c>
      <c r="D101" s="12" t="s">
        <v>128</v>
      </c>
      <c r="E101" s="3">
        <v>45960</v>
      </c>
      <c r="F101" s="3">
        <v>45975</v>
      </c>
      <c r="G101" s="6">
        <v>4227.3</v>
      </c>
      <c r="H101" s="5" t="s">
        <v>68</v>
      </c>
      <c r="I101" s="3">
        <v>45984</v>
      </c>
      <c r="J101" s="8">
        <f>AS_OF-F101</f>
        <v>300</v>
      </c>
      <c r="K101" s="5" t="str">
        <f>IF(OR(AND(H101&lt;&gt;"open",H101&lt;&gt;"partial"),G101&lt;=0),"n/a",IF(J101&lt;0,"current",IF(J101&lt;=30,"0-30",IF(J101&lt;=60,"31-60",IF(J101&lt;=90,"61-90","90+")))))</f>
        <v>n/a</v>
      </c>
      <c r="L101" s="12" t="s">
        <v>548</v>
      </c>
    </row>
    <row r="102" spans="1:12">
      <c r="A102" s="12" t="s">
        <v>549</v>
      </c>
      <c r="B102" s="5" t="s">
        <v>346</v>
      </c>
      <c r="C102" s="5" t="s">
        <v>325</v>
      </c>
      <c r="D102" s="12" t="s">
        <v>100</v>
      </c>
      <c r="E102" s="3">
        <v>45969</v>
      </c>
      <c r="F102" s="3">
        <v>45976</v>
      </c>
      <c r="G102" s="6">
        <v>6311.16</v>
      </c>
      <c r="H102" s="5" t="s">
        <v>68</v>
      </c>
      <c r="I102" s="3">
        <v>45984</v>
      </c>
      <c r="J102" s="8">
        <f>AS_OF-F102</f>
        <v>299</v>
      </c>
      <c r="K102" s="5" t="str">
        <f>IF(OR(AND(H102&lt;&gt;"open",H102&lt;&gt;"partial"),G102&lt;=0),"n/a",IF(J102&lt;0,"current",IF(J102&lt;=30,"0-30",IF(J102&lt;=60,"31-60",IF(J102&lt;=90,"61-90","90+")))))</f>
        <v>n/a</v>
      </c>
      <c r="L102" s="12" t="s">
        <v>550</v>
      </c>
    </row>
    <row r="103" spans="1:12">
      <c r="A103" s="12" t="s">
        <v>551</v>
      </c>
      <c r="B103" s="5" t="s">
        <v>352</v>
      </c>
      <c r="C103" s="5" t="s">
        <v>325</v>
      </c>
      <c r="D103" s="12" t="s">
        <v>116</v>
      </c>
      <c r="E103" s="3">
        <v>45969</v>
      </c>
      <c r="F103" s="3">
        <v>45976</v>
      </c>
      <c r="G103" s="6">
        <v>4276.8</v>
      </c>
      <c r="H103" s="5" t="s">
        <v>68</v>
      </c>
      <c r="I103" s="3">
        <v>45983</v>
      </c>
      <c r="J103" s="8">
        <f>AS_OF-F103</f>
        <v>299</v>
      </c>
      <c r="K103" s="5" t="str">
        <f>IF(OR(AND(H103&lt;&gt;"open",H103&lt;&gt;"partial"),G103&lt;=0),"n/a",IF(J103&lt;0,"current",IF(J103&lt;=30,"0-30",IF(J103&lt;=60,"31-60",IF(J103&lt;=90,"61-90","90+")))))</f>
        <v>n/a</v>
      </c>
      <c r="L103" s="12" t="s">
        <v>552</v>
      </c>
    </row>
    <row r="104" spans="1:12">
      <c r="A104" s="12" t="s">
        <v>553</v>
      </c>
      <c r="B104" s="5" t="s">
        <v>534</v>
      </c>
      <c r="C104" s="5" t="s">
        <v>356</v>
      </c>
      <c r="D104" s="12" t="s">
        <v>120</v>
      </c>
      <c r="E104" s="3">
        <v>45946</v>
      </c>
      <c r="F104" s="3">
        <v>45976</v>
      </c>
      <c r="G104" s="6">
        <v>4601.7</v>
      </c>
      <c r="H104" s="5" t="s">
        <v>68</v>
      </c>
      <c r="I104" s="3">
        <v>45985</v>
      </c>
      <c r="J104" s="8">
        <f>AS_OF-F104</f>
        <v>299</v>
      </c>
      <c r="K104" s="5" t="str">
        <f>IF(OR(AND(H104&lt;&gt;"open",H104&lt;&gt;"partial"),G104&lt;=0),"n/a",IF(J104&lt;0,"current",IF(J104&lt;=30,"0-30",IF(J104&lt;=60,"31-60",IF(J104&lt;=90,"61-90","90+")))))</f>
        <v>n/a</v>
      </c>
      <c r="L104" s="12" t="s">
        <v>554</v>
      </c>
    </row>
    <row r="105" spans="1:12">
      <c r="A105" s="12" t="s">
        <v>555</v>
      </c>
      <c r="B105" s="5" t="s">
        <v>332</v>
      </c>
      <c r="C105" s="5" t="s">
        <v>325</v>
      </c>
      <c r="D105" s="12" t="s">
        <v>110</v>
      </c>
      <c r="E105" s="3">
        <v>45964</v>
      </c>
      <c r="F105" s="3">
        <v>45979</v>
      </c>
      <c r="G105" s="6">
        <v>15555.96</v>
      </c>
      <c r="H105" s="5" t="s">
        <v>68</v>
      </c>
      <c r="I105" s="3">
        <v>45993</v>
      </c>
      <c r="J105" s="8">
        <f>AS_OF-F105</f>
        <v>296</v>
      </c>
      <c r="K105" s="5" t="str">
        <f>IF(OR(AND(H105&lt;&gt;"open",H105&lt;&gt;"partial"),G105&lt;=0),"n/a",IF(J105&lt;0,"current",IF(J105&lt;=30,"0-30",IF(J105&lt;=60,"31-60",IF(J105&lt;=90,"61-90","90+")))))</f>
        <v>n/a</v>
      </c>
      <c r="L105" s="12" t="s">
        <v>556</v>
      </c>
    </row>
    <row r="106" spans="1:12">
      <c r="A106" s="12" t="s">
        <v>557</v>
      </c>
      <c r="B106" s="5" t="s">
        <v>355</v>
      </c>
      <c r="C106" s="5" t="s">
        <v>356</v>
      </c>
      <c r="D106" s="12" t="s">
        <v>100</v>
      </c>
      <c r="E106" s="3">
        <v>45965</v>
      </c>
      <c r="F106" s="3">
        <v>45980</v>
      </c>
      <c r="G106" s="6">
        <v>4402.08</v>
      </c>
      <c r="H106" s="5" t="s">
        <v>68</v>
      </c>
      <c r="I106" s="3">
        <v>46000</v>
      </c>
      <c r="J106" s="8">
        <f>AS_OF-F106</f>
        <v>295</v>
      </c>
      <c r="K106" s="5" t="str">
        <f>IF(OR(AND(H106&lt;&gt;"open",H106&lt;&gt;"partial"),G106&lt;=0),"n/a",IF(J106&lt;0,"current",IF(J106&lt;=30,"0-30",IF(J106&lt;=60,"31-60",IF(J106&lt;=90,"61-90","90+")))))</f>
        <v>n/a</v>
      </c>
      <c r="L106" s="12" t="s">
        <v>558</v>
      </c>
    </row>
    <row r="107" spans="1:12">
      <c r="A107" s="12" t="s">
        <v>559</v>
      </c>
      <c r="B107" s="5" t="s">
        <v>328</v>
      </c>
      <c r="C107" s="5" t="s">
        <v>329</v>
      </c>
      <c r="D107" s="12" t="s">
        <v>110</v>
      </c>
      <c r="E107" s="3">
        <v>45966</v>
      </c>
      <c r="F107" s="3">
        <v>45981</v>
      </c>
      <c r="G107" s="6">
        <v>7379.64</v>
      </c>
      <c r="H107" s="5" t="s">
        <v>68</v>
      </c>
      <c r="I107" s="3">
        <v>45993</v>
      </c>
      <c r="J107" s="8">
        <f>AS_OF-F107</f>
        <v>294</v>
      </c>
      <c r="K107" s="5" t="str">
        <f>IF(OR(AND(H107&lt;&gt;"open",H107&lt;&gt;"partial"),G107&lt;=0),"n/a",IF(J107&lt;0,"current",IF(J107&lt;=30,"0-30",IF(J107&lt;=60,"31-60",IF(J107&lt;=90,"61-90","90+")))))</f>
        <v>n/a</v>
      </c>
      <c r="L107" s="12" t="s">
        <v>560</v>
      </c>
    </row>
    <row r="108" spans="1:12">
      <c r="A108" s="12" t="s">
        <v>561</v>
      </c>
      <c r="B108" s="5" t="s">
        <v>339</v>
      </c>
      <c r="C108" s="5" t="s">
        <v>340</v>
      </c>
      <c r="D108" s="12" t="s">
        <v>97</v>
      </c>
      <c r="E108" s="3">
        <v>45951</v>
      </c>
      <c r="F108" s="3">
        <v>45981</v>
      </c>
      <c r="G108" s="6">
        <v>8971.559999999999</v>
      </c>
      <c r="H108" s="5" t="s">
        <v>68</v>
      </c>
      <c r="I108" s="3">
        <v>45993</v>
      </c>
      <c r="J108" s="8">
        <f>AS_OF-F108</f>
        <v>294</v>
      </c>
      <c r="K108" s="5" t="str">
        <f>IF(OR(AND(H108&lt;&gt;"open",H108&lt;&gt;"partial"),G108&lt;=0),"n/a",IF(J108&lt;0,"current",IF(J108&lt;=30,"0-30",IF(J108&lt;=60,"31-60",IF(J108&lt;=90,"61-90","90+")))))</f>
        <v>n/a</v>
      </c>
      <c r="L108" s="12" t="s">
        <v>562</v>
      </c>
    </row>
    <row r="109" spans="1:12">
      <c r="A109" s="12" t="s">
        <v>563</v>
      </c>
      <c r="B109" s="5" t="s">
        <v>543</v>
      </c>
      <c r="C109" s="5" t="s">
        <v>329</v>
      </c>
      <c r="D109" s="12" t="s">
        <v>116</v>
      </c>
      <c r="E109" s="3">
        <v>45951</v>
      </c>
      <c r="F109" s="3">
        <v>45981</v>
      </c>
      <c r="G109" s="6">
        <v>9003.440000000001</v>
      </c>
      <c r="H109" s="5" t="s">
        <v>68</v>
      </c>
      <c r="I109" s="3">
        <v>45991</v>
      </c>
      <c r="J109" s="8">
        <f>AS_OF-F109</f>
        <v>294</v>
      </c>
      <c r="K109" s="5" t="str">
        <f>IF(OR(AND(H109&lt;&gt;"open",H109&lt;&gt;"partial"),G109&lt;=0),"n/a",IF(J109&lt;0,"current",IF(J109&lt;=30,"0-30",IF(J109&lt;=60,"31-60",IF(J109&lt;=90,"61-90","90+")))))</f>
        <v>n/a</v>
      </c>
      <c r="L109" s="12" t="s">
        <v>564</v>
      </c>
    </row>
    <row r="110" spans="1:12">
      <c r="A110" s="12" t="s">
        <v>565</v>
      </c>
      <c r="B110" s="5" t="s">
        <v>339</v>
      </c>
      <c r="C110" s="5" t="s">
        <v>340</v>
      </c>
      <c r="D110" s="12" t="s">
        <v>97</v>
      </c>
      <c r="E110" s="3">
        <v>45952</v>
      </c>
      <c r="F110" s="3">
        <v>45982</v>
      </c>
      <c r="G110" s="6">
        <v>7508.52</v>
      </c>
      <c r="H110" s="5" t="s">
        <v>68</v>
      </c>
      <c r="I110" s="3">
        <v>45994</v>
      </c>
      <c r="J110" s="8">
        <f>AS_OF-F110</f>
        <v>293</v>
      </c>
      <c r="K110" s="5" t="str">
        <f>IF(OR(AND(H110&lt;&gt;"open",H110&lt;&gt;"partial"),G110&lt;=0),"n/a",IF(J110&lt;0,"current",IF(J110&lt;=30,"0-30",IF(J110&lt;=60,"31-60",IF(J110&lt;=90,"61-90","90+")))))</f>
        <v>n/a</v>
      </c>
      <c r="L110" s="12" t="s">
        <v>566</v>
      </c>
    </row>
    <row r="111" spans="1:12">
      <c r="A111" s="12" t="s">
        <v>567</v>
      </c>
      <c r="B111" s="5" t="s">
        <v>366</v>
      </c>
      <c r="C111" s="5" t="s">
        <v>329</v>
      </c>
      <c r="D111" s="12" t="s">
        <v>128</v>
      </c>
      <c r="E111" s="3">
        <v>45967</v>
      </c>
      <c r="F111" s="3">
        <v>45982</v>
      </c>
      <c r="G111" s="6">
        <v>5073.48</v>
      </c>
      <c r="H111" s="5" t="s">
        <v>68</v>
      </c>
      <c r="I111" s="3">
        <v>45992</v>
      </c>
      <c r="J111" s="8">
        <f>AS_OF-F111</f>
        <v>293</v>
      </c>
      <c r="K111" s="5" t="str">
        <f>IF(OR(AND(H111&lt;&gt;"open",H111&lt;&gt;"partial"),G111&lt;=0),"n/a",IF(J111&lt;0,"current",IF(J111&lt;=30,"0-30",IF(J111&lt;=60,"31-60",IF(J111&lt;=90,"61-90","90+")))))</f>
        <v>n/a</v>
      </c>
      <c r="L111" s="12" t="s">
        <v>568</v>
      </c>
    </row>
    <row r="112" spans="1:12">
      <c r="A112" s="12" t="s">
        <v>569</v>
      </c>
      <c r="B112" s="5" t="s">
        <v>543</v>
      </c>
      <c r="C112" s="5" t="s">
        <v>329</v>
      </c>
      <c r="D112" s="12" t="s">
        <v>100</v>
      </c>
      <c r="E112" s="3">
        <v>45953</v>
      </c>
      <c r="F112" s="3">
        <v>45983</v>
      </c>
      <c r="G112" s="6">
        <v>4037.04</v>
      </c>
      <c r="H112" s="5" t="s">
        <v>68</v>
      </c>
      <c r="I112" s="3">
        <v>45991</v>
      </c>
      <c r="J112" s="8">
        <f>AS_OF-F112</f>
        <v>292</v>
      </c>
      <c r="K112" s="5" t="str">
        <f>IF(OR(AND(H112&lt;&gt;"open",H112&lt;&gt;"partial"),G112&lt;=0),"n/a",IF(J112&lt;0,"current",IF(J112&lt;=30,"0-30",IF(J112&lt;=60,"31-60",IF(J112&lt;=90,"61-90","90+")))))</f>
        <v>n/a</v>
      </c>
      <c r="L112" s="12" t="s">
        <v>570</v>
      </c>
    </row>
    <row r="113" spans="1:12">
      <c r="A113" s="12" t="s">
        <v>571</v>
      </c>
      <c r="B113" s="5" t="s">
        <v>531</v>
      </c>
      <c r="C113" s="5" t="s">
        <v>375</v>
      </c>
      <c r="D113" s="12" t="s">
        <v>100</v>
      </c>
      <c r="E113" s="3">
        <v>45969</v>
      </c>
      <c r="F113" s="3">
        <v>45984</v>
      </c>
      <c r="G113" s="6">
        <v>3844.8</v>
      </c>
      <c r="H113" s="5" t="s">
        <v>68</v>
      </c>
      <c r="I113" s="3">
        <v>45996</v>
      </c>
      <c r="J113" s="8">
        <f>AS_OF-F113</f>
        <v>291</v>
      </c>
      <c r="K113" s="5" t="str">
        <f>IF(OR(AND(H113&lt;&gt;"open",H113&lt;&gt;"partial"),G113&lt;=0),"n/a",IF(J113&lt;0,"current",IF(J113&lt;=30,"0-30",IF(J113&lt;=60,"31-60",IF(J113&lt;=90,"61-90","90+")))))</f>
        <v>n/a</v>
      </c>
      <c r="L113" s="12" t="s">
        <v>572</v>
      </c>
    </row>
    <row r="114" spans="1:12">
      <c r="A114" s="12" t="s">
        <v>573</v>
      </c>
      <c r="B114" s="5" t="s">
        <v>446</v>
      </c>
      <c r="C114" s="5" t="s">
        <v>356</v>
      </c>
      <c r="D114" s="12" t="s">
        <v>120</v>
      </c>
      <c r="E114" s="3">
        <v>45955</v>
      </c>
      <c r="F114" s="3">
        <v>45985</v>
      </c>
      <c r="G114" s="6">
        <v>4187.7</v>
      </c>
      <c r="H114" s="5" t="s">
        <v>68</v>
      </c>
      <c r="I114" s="3">
        <v>45998</v>
      </c>
      <c r="J114" s="8">
        <f>AS_OF-F114</f>
        <v>290</v>
      </c>
      <c r="K114" s="5" t="str">
        <f>IF(OR(AND(H114&lt;&gt;"open",H114&lt;&gt;"partial"),G114&lt;=0),"n/a",IF(J114&lt;0,"current",IF(J114&lt;=30,"0-30",IF(J114&lt;=60,"31-60",IF(J114&lt;=90,"61-90","90+")))))</f>
        <v>n/a</v>
      </c>
      <c r="L114" s="12" t="s">
        <v>574</v>
      </c>
    </row>
    <row r="115" spans="1:12">
      <c r="A115" s="12" t="s">
        <v>575</v>
      </c>
      <c r="B115" s="5" t="s">
        <v>399</v>
      </c>
      <c r="C115" s="5" t="s">
        <v>375</v>
      </c>
      <c r="D115" s="12" t="s">
        <v>100</v>
      </c>
      <c r="E115" s="3">
        <v>45973</v>
      </c>
      <c r="F115" s="3">
        <v>45988</v>
      </c>
      <c r="G115" s="6">
        <v>3874.5</v>
      </c>
      <c r="H115" s="5" t="s">
        <v>68</v>
      </c>
      <c r="I115" s="3">
        <v>45997</v>
      </c>
      <c r="J115" s="8">
        <f>AS_OF-F115</f>
        <v>287</v>
      </c>
      <c r="K115" s="5" t="str">
        <f>IF(OR(AND(H115&lt;&gt;"open",H115&lt;&gt;"partial"),G115&lt;=0),"n/a",IF(J115&lt;0,"current",IF(J115&lt;=30,"0-30",IF(J115&lt;=60,"31-60",IF(J115&lt;=90,"61-90","90+")))))</f>
        <v>n/a</v>
      </c>
      <c r="L115" s="12" t="s">
        <v>576</v>
      </c>
    </row>
    <row r="116" spans="1:12">
      <c r="A116" s="12" t="s">
        <v>577</v>
      </c>
      <c r="B116" s="5" t="s">
        <v>531</v>
      </c>
      <c r="C116" s="5" t="s">
        <v>375</v>
      </c>
      <c r="D116" s="12" t="s">
        <v>110</v>
      </c>
      <c r="E116" s="3">
        <v>45976</v>
      </c>
      <c r="F116" s="3">
        <v>45991</v>
      </c>
      <c r="G116" s="6">
        <v>3607.74</v>
      </c>
      <c r="H116" s="5" t="s">
        <v>68</v>
      </c>
      <c r="I116" s="3">
        <v>46003</v>
      </c>
      <c r="J116" s="8">
        <f>AS_OF-F116</f>
        <v>284</v>
      </c>
      <c r="K116" s="5" t="str">
        <f>IF(OR(AND(H116&lt;&gt;"open",H116&lt;&gt;"partial"),G116&lt;=0),"n/a",IF(J116&lt;0,"current",IF(J116&lt;=30,"0-30",IF(J116&lt;=60,"31-60",IF(J116&lt;=90,"61-90","90+")))))</f>
        <v>n/a</v>
      </c>
      <c r="L116" s="12" t="s">
        <v>578</v>
      </c>
    </row>
    <row r="117" spans="1:12">
      <c r="A117" s="12" t="s">
        <v>579</v>
      </c>
      <c r="B117" s="5" t="s">
        <v>393</v>
      </c>
      <c r="C117" s="5" t="s">
        <v>356</v>
      </c>
      <c r="D117" s="12" t="s">
        <v>139</v>
      </c>
      <c r="E117" s="3">
        <v>45963</v>
      </c>
      <c r="F117" s="3">
        <v>45993</v>
      </c>
      <c r="G117" s="6">
        <v>3755.7</v>
      </c>
      <c r="H117" s="5" t="s">
        <v>68</v>
      </c>
      <c r="I117" s="3">
        <v>46004</v>
      </c>
      <c r="J117" s="8">
        <f>AS_OF-F117</f>
        <v>282</v>
      </c>
      <c r="K117" s="5" t="str">
        <f>IF(OR(AND(H117&lt;&gt;"open",H117&lt;&gt;"partial"),G117&lt;=0),"n/a",IF(J117&lt;0,"current",IF(J117&lt;=30,"0-30",IF(J117&lt;=60,"31-60",IF(J117&lt;=90,"61-90","90+")))))</f>
        <v>n/a</v>
      </c>
      <c r="L117" s="12" t="s">
        <v>580</v>
      </c>
    </row>
    <row r="118" spans="1:12">
      <c r="A118" s="12" t="s">
        <v>581</v>
      </c>
      <c r="B118" s="5" t="s">
        <v>366</v>
      </c>
      <c r="C118" s="5" t="s">
        <v>329</v>
      </c>
      <c r="D118" s="12" t="s">
        <v>139</v>
      </c>
      <c r="E118" s="3">
        <v>45978</v>
      </c>
      <c r="F118" s="3">
        <v>45993</v>
      </c>
      <c r="G118" s="6">
        <v>4547.16</v>
      </c>
      <c r="H118" s="5" t="s">
        <v>68</v>
      </c>
      <c r="I118" s="3">
        <v>46001</v>
      </c>
      <c r="J118" s="8">
        <f>AS_OF-F118</f>
        <v>282</v>
      </c>
      <c r="K118" s="5" t="str">
        <f>IF(OR(AND(H118&lt;&gt;"open",H118&lt;&gt;"partial"),G118&lt;=0),"n/a",IF(J118&lt;0,"current",IF(J118&lt;=30,"0-30",IF(J118&lt;=60,"31-60",IF(J118&lt;=90,"61-90","90+")))))</f>
        <v>n/a</v>
      </c>
      <c r="L118" s="12" t="s">
        <v>582</v>
      </c>
    </row>
    <row r="119" spans="1:12">
      <c r="A119" s="12" t="s">
        <v>583</v>
      </c>
      <c r="B119" s="5" t="s">
        <v>410</v>
      </c>
      <c r="C119" s="5" t="s">
        <v>340</v>
      </c>
      <c r="D119" s="12" t="s">
        <v>116</v>
      </c>
      <c r="E119" s="3">
        <v>45964</v>
      </c>
      <c r="F119" s="3">
        <v>45994</v>
      </c>
      <c r="G119" s="6">
        <v>5954.22</v>
      </c>
      <c r="H119" s="5" t="s">
        <v>68</v>
      </c>
      <c r="I119" s="3">
        <v>46020</v>
      </c>
      <c r="J119" s="8">
        <f>AS_OF-F119</f>
        <v>281</v>
      </c>
      <c r="K119" s="5" t="str">
        <f>IF(OR(AND(H119&lt;&gt;"open",H119&lt;&gt;"partial"),G119&lt;=0),"n/a",IF(J119&lt;0,"current",IF(J119&lt;=30,"0-30",IF(J119&lt;=60,"31-60",IF(J119&lt;=90,"61-90","90+")))))</f>
        <v>n/a</v>
      </c>
      <c r="L119" s="12" t="s">
        <v>584</v>
      </c>
    </row>
    <row r="120" spans="1:12">
      <c r="A120" s="12" t="s">
        <v>585</v>
      </c>
      <c r="B120" s="5" t="s">
        <v>419</v>
      </c>
      <c r="C120" s="5" t="s">
        <v>375</v>
      </c>
      <c r="D120" s="12" t="s">
        <v>139</v>
      </c>
      <c r="E120" s="3">
        <v>45965</v>
      </c>
      <c r="F120" s="3">
        <v>45995</v>
      </c>
      <c r="G120" s="6">
        <v>4149.18</v>
      </c>
      <c r="H120" s="5" t="s">
        <v>68</v>
      </c>
      <c r="I120" s="3">
        <v>45998</v>
      </c>
      <c r="J120" s="8">
        <f>AS_OF-F120</f>
        <v>280</v>
      </c>
      <c r="K120" s="5" t="str">
        <f>IF(OR(AND(H120&lt;&gt;"open",H120&lt;&gt;"partial"),G120&lt;=0),"n/a",IF(J120&lt;0,"current",IF(J120&lt;=30,"0-30",IF(J120&lt;=60,"31-60",IF(J120&lt;=90,"61-90","90+")))))</f>
        <v>n/a</v>
      </c>
      <c r="L120" s="12" t="s">
        <v>586</v>
      </c>
    </row>
    <row r="121" spans="1:12">
      <c r="A121" s="12" t="s">
        <v>587</v>
      </c>
      <c r="B121" s="5" t="s">
        <v>402</v>
      </c>
      <c r="C121" s="5" t="s">
        <v>329</v>
      </c>
      <c r="D121" s="12" t="s">
        <v>120</v>
      </c>
      <c r="E121" s="3">
        <v>45981</v>
      </c>
      <c r="F121" s="3">
        <v>45996</v>
      </c>
      <c r="G121" s="6">
        <v>19595.52</v>
      </c>
      <c r="H121" s="5" t="s">
        <v>68</v>
      </c>
      <c r="I121" s="3">
        <v>46022</v>
      </c>
      <c r="J121" s="8">
        <f>AS_OF-F121</f>
        <v>279</v>
      </c>
      <c r="K121" s="5" t="str">
        <f>IF(OR(AND(H121&lt;&gt;"open",H121&lt;&gt;"partial"),G121&lt;=0),"n/a",IF(J121&lt;0,"current",IF(J121&lt;=30,"0-30",IF(J121&lt;=60,"31-60",IF(J121&lt;=90,"61-90","90+")))))</f>
        <v>n/a</v>
      </c>
      <c r="L121" s="12" t="s">
        <v>588</v>
      </c>
    </row>
    <row r="122" spans="1:12">
      <c r="A122" s="12" t="s">
        <v>589</v>
      </c>
      <c r="B122" s="5" t="s">
        <v>426</v>
      </c>
      <c r="C122" s="5" t="s">
        <v>375</v>
      </c>
      <c r="D122" s="12" t="s">
        <v>116</v>
      </c>
      <c r="E122" s="3">
        <v>45984</v>
      </c>
      <c r="F122" s="3">
        <v>45999</v>
      </c>
      <c r="G122" s="6">
        <v>3765.24</v>
      </c>
      <c r="H122" s="5" t="s">
        <v>68</v>
      </c>
      <c r="I122" s="3">
        <v>46017</v>
      </c>
      <c r="J122" s="8">
        <f>AS_OF-F122</f>
        <v>276</v>
      </c>
      <c r="K122" s="5" t="str">
        <f>IF(OR(AND(H122&lt;&gt;"open",H122&lt;&gt;"partial"),G122&lt;=0),"n/a",IF(J122&lt;0,"current",IF(J122&lt;=30,"0-30",IF(J122&lt;=60,"31-60",IF(J122&lt;=90,"61-90","90+")))))</f>
        <v>n/a</v>
      </c>
      <c r="L122" s="12" t="s">
        <v>590</v>
      </c>
    </row>
    <row r="123" spans="1:12">
      <c r="A123" s="12" t="s">
        <v>591</v>
      </c>
      <c r="B123" s="5" t="s">
        <v>355</v>
      </c>
      <c r="C123" s="5" t="s">
        <v>356</v>
      </c>
      <c r="D123" s="12" t="s">
        <v>134</v>
      </c>
      <c r="E123" s="3">
        <v>45984</v>
      </c>
      <c r="F123" s="3">
        <v>45999</v>
      </c>
      <c r="G123" s="6">
        <v>3721.68</v>
      </c>
      <c r="H123" s="5" t="s">
        <v>68</v>
      </c>
      <c r="I123" s="3">
        <v>46013</v>
      </c>
      <c r="J123" s="8">
        <f>AS_OF-F123</f>
        <v>276</v>
      </c>
      <c r="K123" s="5" t="str">
        <f>IF(OR(AND(H123&lt;&gt;"open",H123&lt;&gt;"partial"),G123&lt;=0),"n/a",IF(J123&lt;0,"current",IF(J123&lt;=30,"0-30",IF(J123&lt;=60,"31-60",IF(J123&lt;=90,"61-90","90+")))))</f>
        <v>n/a</v>
      </c>
      <c r="L123" s="12" t="s">
        <v>592</v>
      </c>
    </row>
    <row r="124" spans="1:12">
      <c r="A124" s="12" t="s">
        <v>593</v>
      </c>
      <c r="B124" s="5" t="s">
        <v>443</v>
      </c>
      <c r="C124" s="5" t="s">
        <v>329</v>
      </c>
      <c r="D124" s="12" t="s">
        <v>146</v>
      </c>
      <c r="E124" s="3">
        <v>45984</v>
      </c>
      <c r="F124" s="3">
        <v>45999</v>
      </c>
      <c r="G124" s="6">
        <v>11594.34</v>
      </c>
      <c r="H124" s="5" t="s">
        <v>68</v>
      </c>
      <c r="I124" s="3">
        <v>46008</v>
      </c>
      <c r="J124" s="8">
        <f>AS_OF-F124</f>
        <v>276</v>
      </c>
      <c r="K124" s="5" t="str">
        <f>IF(OR(AND(H124&lt;&gt;"open",H124&lt;&gt;"partial"),G124&lt;=0),"n/a",IF(J124&lt;0,"current",IF(J124&lt;=30,"0-30",IF(J124&lt;=60,"31-60",IF(J124&lt;=90,"61-90","90+")))))</f>
        <v>n/a</v>
      </c>
      <c r="L124" s="12" t="s">
        <v>594</v>
      </c>
    </row>
    <row r="125" spans="1:12">
      <c r="A125" s="12" t="s">
        <v>595</v>
      </c>
      <c r="B125" s="5" t="s">
        <v>443</v>
      </c>
      <c r="C125" s="5" t="s">
        <v>329</v>
      </c>
      <c r="D125" s="12" t="s">
        <v>134</v>
      </c>
      <c r="E125" s="3">
        <v>45985</v>
      </c>
      <c r="F125" s="3">
        <v>46000</v>
      </c>
      <c r="G125" s="6">
        <v>10139.04</v>
      </c>
      <c r="H125" s="5" t="s">
        <v>68</v>
      </c>
      <c r="I125" s="3">
        <v>46004</v>
      </c>
      <c r="J125" s="8">
        <f>AS_OF-F125</f>
        <v>275</v>
      </c>
      <c r="K125" s="5" t="str">
        <f>IF(OR(AND(H125&lt;&gt;"open",H125&lt;&gt;"partial"),G125&lt;=0),"n/a",IF(J125&lt;0,"current",IF(J125&lt;=30,"0-30",IF(J125&lt;=60,"31-60",IF(J125&lt;=90,"61-90","90+")))))</f>
        <v>n/a</v>
      </c>
      <c r="L125" s="12" t="s">
        <v>596</v>
      </c>
    </row>
    <row r="126" spans="1:12">
      <c r="A126" s="12" t="s">
        <v>597</v>
      </c>
      <c r="B126" s="5" t="s">
        <v>384</v>
      </c>
      <c r="C126" s="5" t="s">
        <v>375</v>
      </c>
      <c r="D126" s="12" t="s">
        <v>116</v>
      </c>
      <c r="E126" s="3">
        <v>45985</v>
      </c>
      <c r="F126" s="3">
        <v>46000</v>
      </c>
      <c r="G126" s="6">
        <v>3883.68</v>
      </c>
      <c r="H126" s="5" t="s">
        <v>68</v>
      </c>
      <c r="I126" s="3">
        <v>46009</v>
      </c>
      <c r="J126" s="8">
        <f>AS_OF-F126</f>
        <v>275</v>
      </c>
      <c r="K126" s="5" t="str">
        <f>IF(OR(AND(H126&lt;&gt;"open",H126&lt;&gt;"partial"),G126&lt;=0),"n/a",IF(J126&lt;0,"current",IF(J126&lt;=30,"0-30",IF(J126&lt;=60,"31-60",IF(J126&lt;=90,"61-90","90+")))))</f>
        <v>n/a</v>
      </c>
      <c r="L126" s="12" t="s">
        <v>598</v>
      </c>
    </row>
    <row r="127" spans="1:12">
      <c r="A127" s="12" t="s">
        <v>599</v>
      </c>
      <c r="B127" s="5" t="s">
        <v>374</v>
      </c>
      <c r="C127" s="5" t="s">
        <v>375</v>
      </c>
      <c r="D127" s="12" t="s">
        <v>120</v>
      </c>
      <c r="E127" s="3">
        <v>45970</v>
      </c>
      <c r="F127" s="3">
        <v>46000</v>
      </c>
      <c r="G127" s="6">
        <v>4562.1</v>
      </c>
      <c r="H127" s="5" t="s">
        <v>68</v>
      </c>
      <c r="I127" s="3">
        <v>46027</v>
      </c>
      <c r="J127" s="8">
        <f>AS_OF-F127</f>
        <v>275</v>
      </c>
      <c r="K127" s="5" t="str">
        <f>IF(OR(AND(H127&lt;&gt;"open",H127&lt;&gt;"partial"),G127&lt;=0),"n/a",IF(J127&lt;0,"current",IF(J127&lt;=30,"0-30",IF(J127&lt;=60,"31-60",IF(J127&lt;=90,"61-90","90+")))))</f>
        <v>n/a</v>
      </c>
      <c r="L127" s="12" t="s">
        <v>600</v>
      </c>
    </row>
    <row r="128" spans="1:12">
      <c r="A128" s="12" t="s">
        <v>601</v>
      </c>
      <c r="B128" s="5" t="s">
        <v>349</v>
      </c>
      <c r="C128" s="5" t="s">
        <v>340</v>
      </c>
      <c r="D128" s="12" t="s">
        <v>134</v>
      </c>
      <c r="E128" s="3">
        <v>45970</v>
      </c>
      <c r="F128" s="3">
        <v>46000</v>
      </c>
      <c r="G128" s="6">
        <v>6108.48</v>
      </c>
      <c r="H128" s="5" t="s">
        <v>68</v>
      </c>
      <c r="I128" s="3">
        <v>46010</v>
      </c>
      <c r="J128" s="8">
        <f>AS_OF-F128</f>
        <v>275</v>
      </c>
      <c r="K128" s="5" t="str">
        <f>IF(OR(AND(H128&lt;&gt;"open",H128&lt;&gt;"partial"),G128&lt;=0),"n/a",IF(J128&lt;0,"current",IF(J128&lt;=30,"0-30",IF(J128&lt;=60,"31-60",IF(J128&lt;=90,"61-90","90+")))))</f>
        <v>n/a</v>
      </c>
      <c r="L128" s="12" t="s">
        <v>602</v>
      </c>
    </row>
    <row r="129" spans="1:12">
      <c r="A129" s="12" t="s">
        <v>603</v>
      </c>
      <c r="B129" s="5" t="s">
        <v>352</v>
      </c>
      <c r="C129" s="5" t="s">
        <v>325</v>
      </c>
      <c r="D129" s="12" t="s">
        <v>128</v>
      </c>
      <c r="E129" s="3">
        <v>45995</v>
      </c>
      <c r="F129" s="3">
        <v>46002</v>
      </c>
      <c r="G129" s="6">
        <v>14546.16</v>
      </c>
      <c r="H129" s="5" t="s">
        <v>68</v>
      </c>
      <c r="I129" s="3">
        <v>46010</v>
      </c>
      <c r="J129" s="8">
        <f>AS_OF-F129</f>
        <v>273</v>
      </c>
      <c r="K129" s="5" t="str">
        <f>IF(OR(AND(H129&lt;&gt;"open",H129&lt;&gt;"partial"),G129&lt;=0),"n/a",IF(J129&lt;0,"current",IF(J129&lt;=30,"0-30",IF(J129&lt;=60,"31-60",IF(J129&lt;=90,"61-90","90+")))))</f>
        <v>n/a</v>
      </c>
      <c r="L129" s="12" t="s">
        <v>604</v>
      </c>
    </row>
    <row r="130" spans="1:12">
      <c r="A130" s="12" t="s">
        <v>605</v>
      </c>
      <c r="B130" s="5" t="s">
        <v>393</v>
      </c>
      <c r="C130" s="5" t="s">
        <v>356</v>
      </c>
      <c r="D130" s="12" t="s">
        <v>100</v>
      </c>
      <c r="E130" s="3">
        <v>45974</v>
      </c>
      <c r="F130" s="3">
        <v>46004</v>
      </c>
      <c r="G130" s="6">
        <v>4022.64</v>
      </c>
      <c r="H130" s="5" t="s">
        <v>68</v>
      </c>
      <c r="I130" s="3">
        <v>46027</v>
      </c>
      <c r="J130" s="8">
        <f>AS_OF-F130</f>
        <v>271</v>
      </c>
      <c r="K130" s="5" t="str">
        <f>IF(OR(AND(H130&lt;&gt;"open",H130&lt;&gt;"partial"),G130&lt;=0),"n/a",IF(J130&lt;0,"current",IF(J130&lt;=30,"0-30",IF(J130&lt;=60,"31-60",IF(J130&lt;=90,"61-90","90+")))))</f>
        <v>n/a</v>
      </c>
      <c r="L130" s="12" t="s">
        <v>606</v>
      </c>
    </row>
    <row r="131" spans="1:12">
      <c r="A131" s="12" t="s">
        <v>607</v>
      </c>
      <c r="B131" s="5" t="s">
        <v>352</v>
      </c>
      <c r="C131" s="5" t="s">
        <v>325</v>
      </c>
      <c r="D131" s="12" t="s">
        <v>120</v>
      </c>
      <c r="E131" s="3">
        <v>45999</v>
      </c>
      <c r="F131" s="3">
        <v>46006</v>
      </c>
      <c r="G131" s="6">
        <v>19131.12</v>
      </c>
      <c r="H131" s="5" t="s">
        <v>68</v>
      </c>
      <c r="I131" s="3">
        <v>46028</v>
      </c>
      <c r="J131" s="8">
        <f>AS_OF-F131</f>
        <v>269</v>
      </c>
      <c r="K131" s="5" t="str">
        <f>IF(OR(AND(H131&lt;&gt;"open",H131&lt;&gt;"partial"),G131&lt;=0),"n/a",IF(J131&lt;0,"current",IF(J131&lt;=30,"0-30",IF(J131&lt;=60,"31-60",IF(J131&lt;=90,"61-90","90+")))))</f>
        <v>n/a</v>
      </c>
      <c r="L131" s="12" t="s">
        <v>608</v>
      </c>
    </row>
    <row r="132" spans="1:12">
      <c r="A132" s="12" t="s">
        <v>609</v>
      </c>
      <c r="B132" s="5" t="s">
        <v>384</v>
      </c>
      <c r="C132" s="5" t="s">
        <v>375</v>
      </c>
      <c r="D132" s="12" t="s">
        <v>134</v>
      </c>
      <c r="E132" s="3">
        <v>45991</v>
      </c>
      <c r="F132" s="3">
        <v>46006</v>
      </c>
      <c r="G132" s="6">
        <v>3707.64</v>
      </c>
      <c r="H132" s="5" t="s">
        <v>68</v>
      </c>
      <c r="I132" s="3">
        <v>46017</v>
      </c>
      <c r="J132" s="8">
        <f>AS_OF-F132</f>
        <v>269</v>
      </c>
      <c r="K132" s="5" t="str">
        <f>IF(OR(AND(H132&lt;&gt;"open",H132&lt;&gt;"partial"),G132&lt;=0),"n/a",IF(J132&lt;0,"current",IF(J132&lt;=30,"0-30",IF(J132&lt;=60,"31-60",IF(J132&lt;=90,"61-90","90+")))))</f>
        <v>n/a</v>
      </c>
      <c r="L132" s="12" t="s">
        <v>610</v>
      </c>
    </row>
    <row r="133" spans="1:12">
      <c r="A133" s="12" t="s">
        <v>611</v>
      </c>
      <c r="B133" s="5" t="s">
        <v>384</v>
      </c>
      <c r="C133" s="5" t="s">
        <v>375</v>
      </c>
      <c r="D133" s="12" t="s">
        <v>128</v>
      </c>
      <c r="E133" s="3">
        <v>45991</v>
      </c>
      <c r="F133" s="3">
        <v>46006</v>
      </c>
      <c r="G133" s="6">
        <v>3603.24</v>
      </c>
      <c r="H133" s="5" t="s">
        <v>68</v>
      </c>
      <c r="I133" s="3">
        <v>46019</v>
      </c>
      <c r="J133" s="8">
        <f>AS_OF-F133</f>
        <v>269</v>
      </c>
      <c r="K133" s="5" t="str">
        <f>IF(OR(AND(H133&lt;&gt;"open",H133&lt;&gt;"partial"),G133&lt;=0),"n/a",IF(J133&lt;0,"current",IF(J133&lt;=30,"0-30",IF(J133&lt;=60,"31-60",IF(J133&lt;=90,"61-90","90+")))))</f>
        <v>n/a</v>
      </c>
      <c r="L133" s="12" t="s">
        <v>612</v>
      </c>
    </row>
    <row r="134" spans="1:12">
      <c r="A134" s="12" t="s">
        <v>613</v>
      </c>
      <c r="B134" s="5" t="s">
        <v>339</v>
      </c>
      <c r="C134" s="5" t="s">
        <v>340</v>
      </c>
      <c r="D134" s="12" t="s">
        <v>134</v>
      </c>
      <c r="E134" s="3">
        <v>45979</v>
      </c>
      <c r="F134" s="3">
        <v>46009</v>
      </c>
      <c r="G134" s="6">
        <v>3758.4</v>
      </c>
      <c r="H134" s="5" t="s">
        <v>68</v>
      </c>
      <c r="I134" s="3">
        <v>46021</v>
      </c>
      <c r="J134" s="8">
        <f>AS_OF-F134</f>
        <v>266</v>
      </c>
      <c r="K134" s="5" t="str">
        <f>IF(OR(AND(H134&lt;&gt;"open",H134&lt;&gt;"partial"),G134&lt;=0),"n/a",IF(J134&lt;0,"current",IF(J134&lt;=30,"0-30",IF(J134&lt;=60,"31-60",IF(J134&lt;=90,"61-90","90+")))))</f>
        <v>n/a</v>
      </c>
      <c r="L134" s="12" t="s">
        <v>614</v>
      </c>
    </row>
    <row r="135" spans="1:12">
      <c r="A135" s="12" t="s">
        <v>615</v>
      </c>
      <c r="B135" s="5" t="s">
        <v>349</v>
      </c>
      <c r="C135" s="5" t="s">
        <v>340</v>
      </c>
      <c r="D135" s="12" t="s">
        <v>139</v>
      </c>
      <c r="E135" s="3">
        <v>45981</v>
      </c>
      <c r="F135" s="3">
        <v>46011</v>
      </c>
      <c r="G135" s="6">
        <v>4168.08</v>
      </c>
      <c r="H135" s="5" t="s">
        <v>68</v>
      </c>
      <c r="I135" s="3">
        <v>46017</v>
      </c>
      <c r="J135" s="8">
        <f>AS_OF-F135</f>
        <v>264</v>
      </c>
      <c r="K135" s="5" t="str">
        <f>IF(OR(AND(H135&lt;&gt;"open",H135&lt;&gt;"partial"),G135&lt;=0),"n/a",IF(J135&lt;0,"current",IF(J135&lt;=30,"0-30",IF(J135&lt;=60,"31-60",IF(J135&lt;=90,"61-90","90+")))))</f>
        <v>n/a</v>
      </c>
      <c r="L135" s="12" t="s">
        <v>616</v>
      </c>
    </row>
    <row r="136" spans="1:12">
      <c r="A136" s="12" t="s">
        <v>617</v>
      </c>
      <c r="B136" s="5" t="s">
        <v>369</v>
      </c>
      <c r="C136" s="5" t="s">
        <v>340</v>
      </c>
      <c r="D136" s="12" t="s">
        <v>100</v>
      </c>
      <c r="E136" s="3">
        <v>45981</v>
      </c>
      <c r="F136" s="3">
        <v>46011</v>
      </c>
      <c r="G136" s="6">
        <v>5877.9</v>
      </c>
      <c r="H136" s="5" t="s">
        <v>68</v>
      </c>
      <c r="I136" s="3">
        <v>46022</v>
      </c>
      <c r="J136" s="8">
        <f>AS_OF-F136</f>
        <v>264</v>
      </c>
      <c r="K136" s="5" t="str">
        <f>IF(OR(AND(H136&lt;&gt;"open",H136&lt;&gt;"partial"),G136&lt;=0),"n/a",IF(J136&lt;0,"current",IF(J136&lt;=30,"0-30",IF(J136&lt;=60,"31-60",IF(J136&lt;=90,"61-90","90+")))))</f>
        <v>n/a</v>
      </c>
      <c r="L136" s="12" t="s">
        <v>618</v>
      </c>
    </row>
    <row r="137" spans="1:12">
      <c r="A137" s="12" t="s">
        <v>619</v>
      </c>
      <c r="B137" s="5" t="s">
        <v>339</v>
      </c>
      <c r="C137" s="5" t="s">
        <v>340</v>
      </c>
      <c r="D137" s="12" t="s">
        <v>116</v>
      </c>
      <c r="E137" s="3">
        <v>45982</v>
      </c>
      <c r="F137" s="3">
        <v>46012</v>
      </c>
      <c r="G137" s="6">
        <v>3857.04</v>
      </c>
      <c r="H137" s="5" t="s">
        <v>68</v>
      </c>
      <c r="I137" s="3">
        <v>46025</v>
      </c>
      <c r="J137" s="8">
        <f>AS_OF-F137</f>
        <v>263</v>
      </c>
      <c r="K137" s="5" t="str">
        <f>IF(OR(AND(H137&lt;&gt;"open",H137&lt;&gt;"partial"),G137&lt;=0),"n/a",IF(J137&lt;0,"current",IF(J137&lt;=30,"0-30",IF(J137&lt;=60,"31-60",IF(J137&lt;=90,"61-90","90+")))))</f>
        <v>n/a</v>
      </c>
      <c r="L137" s="12" t="s">
        <v>620</v>
      </c>
    </row>
    <row r="138" spans="1:12">
      <c r="A138" s="12" t="s">
        <v>621</v>
      </c>
      <c r="B138" s="5" t="s">
        <v>346</v>
      </c>
      <c r="C138" s="5" t="s">
        <v>325</v>
      </c>
      <c r="D138" s="12" t="s">
        <v>120</v>
      </c>
      <c r="E138" s="3">
        <v>46006</v>
      </c>
      <c r="F138" s="3">
        <v>46013</v>
      </c>
      <c r="G138" s="6">
        <v>7812.72</v>
      </c>
      <c r="H138" s="5" t="s">
        <v>68</v>
      </c>
      <c r="I138" s="3">
        <v>46020</v>
      </c>
      <c r="J138" s="8">
        <f>AS_OF-F138</f>
        <v>262</v>
      </c>
      <c r="K138" s="5" t="str">
        <f>IF(OR(AND(H138&lt;&gt;"open",H138&lt;&gt;"partial"),G138&lt;=0),"n/a",IF(J138&lt;0,"current",IF(J138&lt;=30,"0-30",IF(J138&lt;=60,"31-60",IF(J138&lt;=90,"61-90","90+")))))</f>
        <v>n/a</v>
      </c>
      <c r="L138" s="12" t="s">
        <v>622</v>
      </c>
    </row>
    <row r="139" spans="1:12">
      <c r="A139" s="12" t="s">
        <v>623</v>
      </c>
      <c r="B139" s="5" t="s">
        <v>352</v>
      </c>
      <c r="C139" s="5" t="s">
        <v>325</v>
      </c>
      <c r="D139" s="12" t="s">
        <v>162</v>
      </c>
      <c r="E139" s="3">
        <v>46006</v>
      </c>
      <c r="F139" s="3">
        <v>46013</v>
      </c>
      <c r="G139" s="6">
        <v>6905.88</v>
      </c>
      <c r="H139" s="5" t="s">
        <v>68</v>
      </c>
      <c r="I139" s="3">
        <v>46044</v>
      </c>
      <c r="J139" s="8">
        <f>AS_OF-F139</f>
        <v>262</v>
      </c>
      <c r="K139" s="5" t="str">
        <f>IF(OR(AND(H139&lt;&gt;"open",H139&lt;&gt;"partial"),G139&lt;=0),"n/a",IF(J139&lt;0,"current",IF(J139&lt;=30,"0-30",IF(J139&lt;=60,"31-60",IF(J139&lt;=90,"61-90","90+")))))</f>
        <v>n/a</v>
      </c>
      <c r="L139" s="12" t="s">
        <v>624</v>
      </c>
    </row>
    <row r="140" spans="1:12">
      <c r="A140" s="12" t="s">
        <v>625</v>
      </c>
      <c r="B140" s="5" t="s">
        <v>531</v>
      </c>
      <c r="C140" s="5" t="s">
        <v>375</v>
      </c>
      <c r="D140" s="12" t="s">
        <v>139</v>
      </c>
      <c r="E140" s="3">
        <v>45998</v>
      </c>
      <c r="F140" s="3">
        <v>46013</v>
      </c>
      <c r="G140" s="6">
        <v>3603.42</v>
      </c>
      <c r="H140" s="5" t="s">
        <v>68</v>
      </c>
      <c r="I140" s="3">
        <v>46021</v>
      </c>
      <c r="J140" s="8">
        <f>AS_OF-F140</f>
        <v>262</v>
      </c>
      <c r="K140" s="5" t="str">
        <f>IF(OR(AND(H140&lt;&gt;"open",H140&lt;&gt;"partial"),G140&lt;=0),"n/a",IF(J140&lt;0,"current",IF(J140&lt;=30,"0-30",IF(J140&lt;=60,"31-60",IF(J140&lt;=90,"61-90","90+")))))</f>
        <v>n/a</v>
      </c>
      <c r="L140" s="12" t="s">
        <v>626</v>
      </c>
    </row>
    <row r="141" spans="1:12">
      <c r="A141" s="12" t="s">
        <v>627</v>
      </c>
      <c r="B141" s="5" t="s">
        <v>369</v>
      </c>
      <c r="C141" s="5" t="s">
        <v>340</v>
      </c>
      <c r="D141" s="12" t="s">
        <v>128</v>
      </c>
      <c r="E141" s="3">
        <v>45985</v>
      </c>
      <c r="F141" s="3">
        <v>46015</v>
      </c>
      <c r="G141" s="6">
        <v>7149.6</v>
      </c>
      <c r="H141" s="5" t="s">
        <v>68</v>
      </c>
      <c r="I141" s="3">
        <v>46024</v>
      </c>
      <c r="J141" s="8">
        <f>AS_OF-F141</f>
        <v>260</v>
      </c>
      <c r="K141" s="5" t="str">
        <f>IF(OR(AND(H141&lt;&gt;"open",H141&lt;&gt;"partial"),G141&lt;=0),"n/a",IF(J141&lt;0,"current",IF(J141&lt;=30,"0-30",IF(J141&lt;=60,"31-60",IF(J141&lt;=90,"61-90","90+")))))</f>
        <v>n/a</v>
      </c>
      <c r="L141" s="12" t="s">
        <v>628</v>
      </c>
    </row>
    <row r="142" spans="1:12">
      <c r="A142" s="12" t="s">
        <v>629</v>
      </c>
      <c r="B142" s="5" t="s">
        <v>324</v>
      </c>
      <c r="C142" s="5" t="s">
        <v>325</v>
      </c>
      <c r="D142" s="12" t="s">
        <v>146</v>
      </c>
      <c r="E142" s="3">
        <v>46000</v>
      </c>
      <c r="F142" s="3">
        <v>46015</v>
      </c>
      <c r="G142" s="6">
        <v>14644.8</v>
      </c>
      <c r="H142" s="5" t="s">
        <v>68</v>
      </c>
      <c r="I142" s="3">
        <v>46035</v>
      </c>
      <c r="J142" s="8">
        <f>AS_OF-F142</f>
        <v>260</v>
      </c>
      <c r="K142" s="5" t="str">
        <f>IF(OR(AND(H142&lt;&gt;"open",H142&lt;&gt;"partial"),G142&lt;=0),"n/a",IF(J142&lt;0,"current",IF(J142&lt;=30,"0-30",IF(J142&lt;=60,"31-60",IF(J142&lt;=90,"61-90","90+")))))</f>
        <v>n/a</v>
      </c>
      <c r="L142" s="12" t="s">
        <v>630</v>
      </c>
    </row>
    <row r="143" spans="1:12">
      <c r="A143" s="12" t="s">
        <v>631</v>
      </c>
      <c r="B143" s="5" t="s">
        <v>328</v>
      </c>
      <c r="C143" s="5" t="s">
        <v>329</v>
      </c>
      <c r="D143" s="12" t="s">
        <v>120</v>
      </c>
      <c r="E143" s="3">
        <v>46001</v>
      </c>
      <c r="F143" s="3">
        <v>46016</v>
      </c>
      <c r="G143" s="6">
        <v>16836.48</v>
      </c>
      <c r="H143" s="5" t="s">
        <v>68</v>
      </c>
      <c r="I143" s="3">
        <v>46033</v>
      </c>
      <c r="J143" s="8">
        <f>AS_OF-F143</f>
        <v>259</v>
      </c>
      <c r="K143" s="5" t="str">
        <f>IF(OR(AND(H143&lt;&gt;"open",H143&lt;&gt;"partial"),G143&lt;=0),"n/a",IF(J143&lt;0,"current",IF(J143&lt;=30,"0-30",IF(J143&lt;=60,"31-60",IF(J143&lt;=90,"61-90","90+")))))</f>
        <v>n/a</v>
      </c>
      <c r="L143" s="12" t="s">
        <v>632</v>
      </c>
    </row>
    <row r="144" spans="1:12">
      <c r="A144" s="12" t="s">
        <v>633</v>
      </c>
      <c r="B144" s="5" t="s">
        <v>349</v>
      </c>
      <c r="C144" s="5" t="s">
        <v>340</v>
      </c>
      <c r="D144" s="12" t="s">
        <v>146</v>
      </c>
      <c r="E144" s="3">
        <v>45986</v>
      </c>
      <c r="F144" s="3">
        <v>46016</v>
      </c>
      <c r="G144" s="6">
        <v>8971.92</v>
      </c>
      <c r="H144" s="5" t="s">
        <v>68</v>
      </c>
      <c r="I144" s="3">
        <v>46049</v>
      </c>
      <c r="J144" s="8">
        <f>AS_OF-F144</f>
        <v>259</v>
      </c>
      <c r="K144" s="5" t="str">
        <f>IF(OR(AND(H144&lt;&gt;"open",H144&lt;&gt;"partial"),G144&lt;=0),"n/a",IF(J144&lt;0,"current",IF(J144&lt;=30,"0-30",IF(J144&lt;=60,"31-60",IF(J144&lt;=90,"61-90","90+")))))</f>
        <v>n/a</v>
      </c>
      <c r="L144" s="12" t="s">
        <v>634</v>
      </c>
    </row>
    <row r="145" spans="1:12">
      <c r="A145" s="12" t="s">
        <v>635</v>
      </c>
      <c r="B145" s="5" t="s">
        <v>332</v>
      </c>
      <c r="C145" s="5" t="s">
        <v>325</v>
      </c>
      <c r="D145" s="12" t="s">
        <v>139</v>
      </c>
      <c r="E145" s="3">
        <v>46002</v>
      </c>
      <c r="F145" s="3">
        <v>46017</v>
      </c>
      <c r="G145" s="6">
        <v>14049</v>
      </c>
      <c r="H145" s="5" t="s">
        <v>68</v>
      </c>
      <c r="I145" s="3">
        <v>46040</v>
      </c>
      <c r="J145" s="8">
        <f>AS_OF-F145</f>
        <v>258</v>
      </c>
      <c r="K145" s="5" t="str">
        <f>IF(OR(AND(H145&lt;&gt;"open",H145&lt;&gt;"partial"),G145&lt;=0),"n/a",IF(J145&lt;0,"current",IF(J145&lt;=30,"0-30",IF(J145&lt;=60,"31-60",IF(J145&lt;=90,"61-90","90+")))))</f>
        <v>n/a</v>
      </c>
      <c r="L145" s="12" t="s">
        <v>636</v>
      </c>
    </row>
    <row r="146" spans="1:12">
      <c r="A146" s="12" t="s">
        <v>637</v>
      </c>
      <c r="B146" s="5" t="s">
        <v>446</v>
      </c>
      <c r="C146" s="5" t="s">
        <v>356</v>
      </c>
      <c r="D146" s="12" t="s">
        <v>134</v>
      </c>
      <c r="E146" s="3">
        <v>45987</v>
      </c>
      <c r="F146" s="3">
        <v>46017</v>
      </c>
      <c r="G146" s="6">
        <v>3777.84</v>
      </c>
      <c r="H146" s="5" t="s">
        <v>68</v>
      </c>
      <c r="I146" s="3">
        <v>46031</v>
      </c>
      <c r="J146" s="8">
        <f>AS_OF-F146</f>
        <v>258</v>
      </c>
      <c r="K146" s="5" t="str">
        <f>IF(OR(AND(H146&lt;&gt;"open",H146&lt;&gt;"partial"),G146&lt;=0),"n/a",IF(J146&lt;0,"current",IF(J146&lt;=30,"0-30",IF(J146&lt;=60,"31-60",IF(J146&lt;=90,"61-90","90+")))))</f>
        <v>n/a</v>
      </c>
      <c r="L146" s="12" t="s">
        <v>638</v>
      </c>
    </row>
    <row r="147" spans="1:12">
      <c r="A147" s="12" t="s">
        <v>639</v>
      </c>
      <c r="B147" s="5" t="s">
        <v>543</v>
      </c>
      <c r="C147" s="5" t="s">
        <v>329</v>
      </c>
      <c r="D147" s="12" t="s">
        <v>134</v>
      </c>
      <c r="E147" s="3">
        <v>45988</v>
      </c>
      <c r="F147" s="3">
        <v>46018</v>
      </c>
      <c r="G147" s="6">
        <v>6881.76</v>
      </c>
      <c r="H147" s="5" t="s">
        <v>68</v>
      </c>
      <c r="I147" s="3">
        <v>46026</v>
      </c>
      <c r="J147" s="8">
        <f>AS_OF-F147</f>
        <v>257</v>
      </c>
      <c r="K147" s="5" t="str">
        <f>IF(OR(AND(H147&lt;&gt;"open",H147&lt;&gt;"partial"),G147&lt;=0),"n/a",IF(J147&lt;0,"current",IF(J147&lt;=30,"0-30",IF(J147&lt;=60,"31-60",IF(J147&lt;=90,"61-90","90+")))))</f>
        <v>n/a</v>
      </c>
      <c r="L147" s="12" t="s">
        <v>640</v>
      </c>
    </row>
    <row r="148" spans="1:12">
      <c r="A148" s="12" t="s">
        <v>641</v>
      </c>
      <c r="B148" s="5" t="s">
        <v>349</v>
      </c>
      <c r="C148" s="5" t="s">
        <v>340</v>
      </c>
      <c r="D148" s="12" t="s">
        <v>120</v>
      </c>
      <c r="E148" s="3">
        <v>45988</v>
      </c>
      <c r="F148" s="3">
        <v>46018</v>
      </c>
      <c r="G148" s="6">
        <v>9466.559999999999</v>
      </c>
      <c r="H148" s="5" t="s">
        <v>68</v>
      </c>
      <c r="I148" s="3">
        <v>46037</v>
      </c>
      <c r="J148" s="8">
        <f>AS_OF-F148</f>
        <v>257</v>
      </c>
      <c r="K148" s="5" t="str">
        <f>IF(OR(AND(H148&lt;&gt;"open",H148&lt;&gt;"partial"),G148&lt;=0),"n/a",IF(J148&lt;0,"current",IF(J148&lt;=30,"0-30",IF(J148&lt;=60,"31-60",IF(J148&lt;=90,"61-90","90+")))))</f>
        <v>n/a</v>
      </c>
      <c r="L148" s="12" t="s">
        <v>642</v>
      </c>
    </row>
    <row r="149" spans="1:12">
      <c r="A149" s="12" t="s">
        <v>643</v>
      </c>
      <c r="B149" s="5" t="s">
        <v>352</v>
      </c>
      <c r="C149" s="5" t="s">
        <v>325</v>
      </c>
      <c r="D149" s="12" t="s">
        <v>134</v>
      </c>
      <c r="E149" s="3">
        <v>46012</v>
      </c>
      <c r="F149" s="3">
        <v>46019</v>
      </c>
      <c r="G149" s="6">
        <v>12871.8</v>
      </c>
      <c r="H149" s="5" t="s">
        <v>68</v>
      </c>
      <c r="I149" s="3">
        <v>46032</v>
      </c>
      <c r="J149" s="8">
        <f>AS_OF-F149</f>
        <v>256</v>
      </c>
      <c r="K149" s="5" t="str">
        <f>IF(OR(AND(H149&lt;&gt;"open",H149&lt;&gt;"partial"),G149&lt;=0),"n/a",IF(J149&lt;0,"current",IF(J149&lt;=30,"0-30",IF(J149&lt;=60,"31-60",IF(J149&lt;=90,"61-90","90+")))))</f>
        <v>n/a</v>
      </c>
      <c r="L149" s="12" t="s">
        <v>644</v>
      </c>
    </row>
    <row r="150" spans="1:12">
      <c r="A150" s="12" t="s">
        <v>645</v>
      </c>
      <c r="B150" s="5" t="s">
        <v>531</v>
      </c>
      <c r="C150" s="5" t="s">
        <v>375</v>
      </c>
      <c r="D150" s="12" t="s">
        <v>153</v>
      </c>
      <c r="E150" s="3">
        <v>46005</v>
      </c>
      <c r="F150" s="3">
        <v>46020</v>
      </c>
      <c r="G150" s="6">
        <v>3688.56</v>
      </c>
      <c r="H150" s="5" t="s">
        <v>68</v>
      </c>
      <c r="I150" s="3">
        <v>46030</v>
      </c>
      <c r="J150" s="8">
        <f>AS_OF-F150</f>
        <v>255</v>
      </c>
      <c r="K150" s="5" t="str">
        <f>IF(OR(AND(H150&lt;&gt;"open",H150&lt;&gt;"partial"),G150&lt;=0),"n/a",IF(J150&lt;0,"current",IF(J150&lt;=30,"0-30",IF(J150&lt;=60,"31-60",IF(J150&lt;=90,"61-90","90+")))))</f>
        <v>n/a</v>
      </c>
      <c r="L150" s="12" t="s">
        <v>646</v>
      </c>
    </row>
    <row r="151" spans="1:12">
      <c r="A151" s="12" t="s">
        <v>647</v>
      </c>
      <c r="B151" s="5" t="s">
        <v>443</v>
      </c>
      <c r="C151" s="5" t="s">
        <v>329</v>
      </c>
      <c r="D151" s="12" t="s">
        <v>162</v>
      </c>
      <c r="E151" s="3">
        <v>46006</v>
      </c>
      <c r="F151" s="3">
        <v>46021</v>
      </c>
      <c r="G151" s="6">
        <v>8743.139999999999</v>
      </c>
      <c r="H151" s="5" t="s">
        <v>68</v>
      </c>
      <c r="I151" s="3">
        <v>46037</v>
      </c>
      <c r="J151" s="8">
        <f>AS_OF-F151</f>
        <v>254</v>
      </c>
      <c r="K151" s="5" t="str">
        <f>IF(OR(AND(H151&lt;&gt;"open",H151&lt;&gt;"partial"),G151&lt;=0),"n/a",IF(J151&lt;0,"current",IF(J151&lt;=30,"0-30",IF(J151&lt;=60,"31-60",IF(J151&lt;=90,"61-90","90+")))))</f>
        <v>n/a</v>
      </c>
      <c r="L151" s="12" t="s">
        <v>648</v>
      </c>
    </row>
    <row r="152" spans="1:12">
      <c r="A152" s="12" t="s">
        <v>649</v>
      </c>
      <c r="B152" s="5" t="s">
        <v>650</v>
      </c>
      <c r="C152" s="5" t="s">
        <v>340</v>
      </c>
      <c r="D152" s="12" t="s">
        <v>139</v>
      </c>
      <c r="E152" s="3">
        <v>45977</v>
      </c>
      <c r="F152" s="3">
        <v>46022</v>
      </c>
      <c r="G152" s="6">
        <v>5632.2</v>
      </c>
      <c r="H152" s="5" t="s">
        <v>68</v>
      </c>
      <c r="I152" s="3">
        <v>46031</v>
      </c>
      <c r="J152" s="8">
        <f>AS_OF-F152</f>
        <v>253</v>
      </c>
      <c r="K152" s="5" t="str">
        <f>IF(OR(AND(H152&lt;&gt;"open",H152&lt;&gt;"partial"),G152&lt;=0),"n/a",IF(J152&lt;0,"current",IF(J152&lt;=30,"0-30",IF(J152&lt;=60,"31-60",IF(J152&lt;=90,"61-90","90+")))))</f>
        <v>n/a</v>
      </c>
      <c r="L152" s="12" t="s">
        <v>651</v>
      </c>
    </row>
    <row r="153" spans="1:12">
      <c r="A153" s="12" t="s">
        <v>652</v>
      </c>
      <c r="B153" s="5" t="s">
        <v>531</v>
      </c>
      <c r="C153" s="5" t="s">
        <v>375</v>
      </c>
      <c r="D153" s="12" t="s">
        <v>146</v>
      </c>
      <c r="E153" s="3">
        <v>46007</v>
      </c>
      <c r="F153" s="3">
        <v>46022</v>
      </c>
      <c r="G153" s="6">
        <v>4999.32</v>
      </c>
      <c r="H153" s="5" t="s">
        <v>68</v>
      </c>
      <c r="I153" s="3">
        <v>46032</v>
      </c>
      <c r="J153" s="8">
        <f>AS_OF-F153</f>
        <v>253</v>
      </c>
      <c r="K153" s="5" t="str">
        <f>IF(OR(AND(H153&lt;&gt;"open",H153&lt;&gt;"partial"),G153&lt;=0),"n/a",IF(J153&lt;0,"current",IF(J153&lt;=30,"0-30",IF(J153&lt;=60,"31-60",IF(J153&lt;=90,"61-90","90+")))))</f>
        <v>n/a</v>
      </c>
      <c r="L153" s="12" t="s">
        <v>653</v>
      </c>
    </row>
    <row r="154" spans="1:12">
      <c r="A154" s="12" t="s">
        <v>654</v>
      </c>
      <c r="B154" s="5" t="s">
        <v>426</v>
      </c>
      <c r="C154" s="5" t="s">
        <v>375</v>
      </c>
      <c r="D154" s="12" t="s">
        <v>162</v>
      </c>
      <c r="E154" s="3">
        <v>46007</v>
      </c>
      <c r="F154" s="3">
        <v>46022</v>
      </c>
      <c r="G154" s="6">
        <v>4494.96</v>
      </c>
      <c r="H154" s="5" t="s">
        <v>68</v>
      </c>
      <c r="I154" s="3">
        <v>46031</v>
      </c>
      <c r="J154" s="8">
        <f>AS_OF-F154</f>
        <v>253</v>
      </c>
      <c r="K154" s="5" t="str">
        <f>IF(OR(AND(H154&lt;&gt;"open",H154&lt;&gt;"partial"),G154&lt;=0),"n/a",IF(J154&lt;0,"current",IF(J154&lt;=30,"0-30",IF(J154&lt;=60,"31-60",IF(J154&lt;=90,"61-90","90+")))))</f>
        <v>n/a</v>
      </c>
      <c r="L154" s="12" t="s">
        <v>655</v>
      </c>
    </row>
    <row r="155" spans="1:12">
      <c r="A155" s="12" t="s">
        <v>656</v>
      </c>
      <c r="B155" s="5" t="s">
        <v>363</v>
      </c>
      <c r="C155" s="5" t="s">
        <v>329</v>
      </c>
      <c r="D155" s="12" t="s">
        <v>153</v>
      </c>
      <c r="E155" s="3">
        <v>45992</v>
      </c>
      <c r="F155" s="3">
        <v>46022</v>
      </c>
      <c r="G155" s="6">
        <v>6376.68</v>
      </c>
      <c r="H155" s="5" t="s">
        <v>68</v>
      </c>
      <c r="I155" s="3">
        <v>46041</v>
      </c>
      <c r="J155" s="8">
        <f>AS_OF-F155</f>
        <v>253</v>
      </c>
      <c r="K155" s="5" t="str">
        <f>IF(OR(AND(H155&lt;&gt;"open",H155&lt;&gt;"partial"),G155&lt;=0),"n/a",IF(J155&lt;0,"current",IF(J155&lt;=30,"0-30",IF(J155&lt;=60,"31-60",IF(J155&lt;=90,"61-90","90+")))))</f>
        <v>n/a</v>
      </c>
      <c r="L155" s="12" t="s">
        <v>657</v>
      </c>
    </row>
    <row r="156" spans="1:12">
      <c r="A156" s="12" t="s">
        <v>658</v>
      </c>
      <c r="B156" s="5" t="s">
        <v>543</v>
      </c>
      <c r="C156" s="5" t="s">
        <v>329</v>
      </c>
      <c r="D156" s="12" t="s">
        <v>162</v>
      </c>
      <c r="E156" s="3">
        <v>45993</v>
      </c>
      <c r="F156" s="3">
        <v>46023</v>
      </c>
      <c r="G156" s="6">
        <v>3666.6</v>
      </c>
      <c r="H156" s="5" t="s">
        <v>68</v>
      </c>
      <c r="I156" s="3">
        <v>46040</v>
      </c>
      <c r="J156" s="8">
        <f>AS_OF-F156</f>
        <v>252</v>
      </c>
      <c r="K156" s="5" t="str">
        <f>IF(OR(AND(H156&lt;&gt;"open",H156&lt;&gt;"partial"),G156&lt;=0),"n/a",IF(J156&lt;0,"current",IF(J156&lt;=30,"0-30",IF(J156&lt;=60,"31-60",IF(J156&lt;=90,"61-90","90+")))))</f>
        <v>n/a</v>
      </c>
      <c r="L156" s="12" t="s">
        <v>659</v>
      </c>
    </row>
    <row r="157" spans="1:12">
      <c r="A157" s="12" t="s">
        <v>660</v>
      </c>
      <c r="B157" s="5" t="s">
        <v>396</v>
      </c>
      <c r="C157" s="5" t="s">
        <v>356</v>
      </c>
      <c r="D157" s="12" t="s">
        <v>146</v>
      </c>
      <c r="E157" s="3">
        <v>45995</v>
      </c>
      <c r="F157" s="3">
        <v>46025</v>
      </c>
      <c r="G157" s="6">
        <v>3780.9</v>
      </c>
      <c r="H157" s="5" t="s">
        <v>68</v>
      </c>
      <c r="I157" s="3">
        <v>46033</v>
      </c>
      <c r="J157" s="8">
        <f>AS_OF-F157</f>
        <v>250</v>
      </c>
      <c r="K157" s="5" t="str">
        <f>IF(OR(AND(H157&lt;&gt;"open",H157&lt;&gt;"partial"),G157&lt;=0),"n/a",IF(J157&lt;0,"current",IF(J157&lt;=30,"0-30",IF(J157&lt;=60,"31-60",IF(J157&lt;=90,"61-90","90+")))))</f>
        <v>n/a</v>
      </c>
      <c r="L157" s="12" t="s">
        <v>661</v>
      </c>
    </row>
    <row r="158" spans="1:12">
      <c r="A158" s="12" t="s">
        <v>662</v>
      </c>
      <c r="B158" s="5" t="s">
        <v>352</v>
      </c>
      <c r="C158" s="5" t="s">
        <v>325</v>
      </c>
      <c r="D158" s="12" t="s">
        <v>134</v>
      </c>
      <c r="E158" s="3">
        <v>46019</v>
      </c>
      <c r="F158" s="3">
        <v>46026</v>
      </c>
      <c r="G158" s="6">
        <v>10086.3</v>
      </c>
      <c r="H158" s="5" t="s">
        <v>68</v>
      </c>
      <c r="I158" s="3">
        <v>46042</v>
      </c>
      <c r="J158" s="8">
        <f>AS_OF-F158</f>
        <v>249</v>
      </c>
      <c r="K158" s="5" t="str">
        <f>IF(OR(AND(H158&lt;&gt;"open",H158&lt;&gt;"partial"),G158&lt;=0),"n/a",IF(J158&lt;0,"current",IF(J158&lt;=30,"0-30",IF(J158&lt;=60,"31-60",IF(J158&lt;=90,"61-90","90+")))))</f>
        <v>n/a</v>
      </c>
      <c r="L158" s="12" t="s">
        <v>663</v>
      </c>
    </row>
    <row r="159" spans="1:12">
      <c r="A159" s="12" t="s">
        <v>664</v>
      </c>
      <c r="B159" s="5" t="s">
        <v>332</v>
      </c>
      <c r="C159" s="5" t="s">
        <v>325</v>
      </c>
      <c r="D159" s="12" t="s">
        <v>139</v>
      </c>
      <c r="E159" s="3">
        <v>46012</v>
      </c>
      <c r="F159" s="3">
        <v>46027</v>
      </c>
      <c r="G159" s="6">
        <v>16957.8</v>
      </c>
      <c r="H159" s="5" t="s">
        <v>68</v>
      </c>
      <c r="I159" s="3">
        <v>46031</v>
      </c>
      <c r="J159" s="8">
        <f>AS_OF-F159</f>
        <v>248</v>
      </c>
      <c r="K159" s="5" t="str">
        <f>IF(OR(AND(H159&lt;&gt;"open",H159&lt;&gt;"partial"),G159&lt;=0),"n/a",IF(J159&lt;0,"current",IF(J159&lt;=30,"0-30",IF(J159&lt;=60,"31-60",IF(J159&lt;=90,"61-90","90+")))))</f>
        <v>n/a</v>
      </c>
      <c r="L159" s="12" t="s">
        <v>665</v>
      </c>
    </row>
    <row r="160" spans="1:12">
      <c r="A160" s="12" t="s">
        <v>666</v>
      </c>
      <c r="B160" s="5" t="s">
        <v>419</v>
      </c>
      <c r="C160" s="5" t="s">
        <v>375</v>
      </c>
      <c r="D160" s="12" t="s">
        <v>153</v>
      </c>
      <c r="E160" s="3">
        <v>45998</v>
      </c>
      <c r="F160" s="3">
        <v>46028</v>
      </c>
      <c r="G160" s="6">
        <v>3830.04</v>
      </c>
      <c r="H160" s="5" t="s">
        <v>149</v>
      </c>
      <c r="I160" s="5" t="s">
        <v>150</v>
      </c>
      <c r="J160" s="8">
        <f>AS_OF-F160</f>
        <v>247</v>
      </c>
      <c r="K160" s="5" t="str">
        <f>IF(OR(AND(H160&lt;&gt;"open",H160&lt;&gt;"partial"),G160&lt;=0),"n/a",IF(J160&lt;0,"current",IF(J160&lt;=30,"0-30",IF(J160&lt;=60,"31-60",IF(J160&lt;=90,"61-90","90+")))))</f>
        <v>n/a</v>
      </c>
      <c r="L160" s="12" t="s">
        <v>667</v>
      </c>
    </row>
    <row r="161" spans="1:12">
      <c r="A161" s="12" t="s">
        <v>668</v>
      </c>
      <c r="B161" s="5" t="s">
        <v>328</v>
      </c>
      <c r="C161" s="5" t="s">
        <v>329</v>
      </c>
      <c r="D161" s="12" t="s">
        <v>139</v>
      </c>
      <c r="E161" s="3">
        <v>46016</v>
      </c>
      <c r="F161" s="3">
        <v>46031</v>
      </c>
      <c r="G161" s="6">
        <v>12177.72</v>
      </c>
      <c r="H161" s="5" t="s">
        <v>68</v>
      </c>
      <c r="I161" s="3">
        <v>46036</v>
      </c>
      <c r="J161" s="8">
        <f>AS_OF-F161</f>
        <v>244</v>
      </c>
      <c r="K161" s="5" t="str">
        <f>IF(OR(AND(H161&lt;&gt;"open",H161&lt;&gt;"partial"),G161&lt;=0),"n/a",IF(J161&lt;0,"current",IF(J161&lt;=30,"0-30",IF(J161&lt;=60,"31-60",IF(J161&lt;=90,"61-90","90+")))))</f>
        <v>n/a</v>
      </c>
      <c r="L161" s="12" t="s">
        <v>669</v>
      </c>
    </row>
    <row r="162" spans="1:12">
      <c r="A162" s="12" t="s">
        <v>670</v>
      </c>
      <c r="B162" s="5" t="s">
        <v>410</v>
      </c>
      <c r="C162" s="5" t="s">
        <v>340</v>
      </c>
      <c r="D162" s="12" t="s">
        <v>120</v>
      </c>
      <c r="E162" s="3">
        <v>46004</v>
      </c>
      <c r="F162" s="3">
        <v>46034</v>
      </c>
      <c r="G162" s="6">
        <v>4222.62</v>
      </c>
      <c r="H162" s="5" t="s">
        <v>68</v>
      </c>
      <c r="I162" s="3">
        <v>46044</v>
      </c>
      <c r="J162" s="8">
        <f>AS_OF-F162</f>
        <v>241</v>
      </c>
      <c r="K162" s="5" t="str">
        <f>IF(OR(AND(H162&lt;&gt;"open",H162&lt;&gt;"partial"),G162&lt;=0),"n/a",IF(J162&lt;0,"current",IF(J162&lt;=30,"0-30",IF(J162&lt;=60,"31-60",IF(J162&lt;=90,"61-90","90+")))))</f>
        <v>n/a</v>
      </c>
      <c r="L162" s="12" t="s">
        <v>671</v>
      </c>
    </row>
    <row r="163" spans="1:12">
      <c r="A163" s="12" t="s">
        <v>672</v>
      </c>
      <c r="B163" s="5" t="s">
        <v>346</v>
      </c>
      <c r="C163" s="5" t="s">
        <v>325</v>
      </c>
      <c r="D163" s="12" t="s">
        <v>153</v>
      </c>
      <c r="E163" s="3">
        <v>46028</v>
      </c>
      <c r="F163" s="3">
        <v>46035</v>
      </c>
      <c r="G163" s="6">
        <v>4443.48</v>
      </c>
      <c r="H163" s="5" t="s">
        <v>68</v>
      </c>
      <c r="I163" s="3">
        <v>46051</v>
      </c>
      <c r="J163" s="8">
        <f>AS_OF-F163</f>
        <v>240</v>
      </c>
      <c r="K163" s="5" t="str">
        <f>IF(OR(AND(H163&lt;&gt;"open",H163&lt;&gt;"partial"),G163&lt;=0),"n/a",IF(J163&lt;0,"current",IF(J163&lt;=30,"0-30",IF(J163&lt;=60,"31-60",IF(J163&lt;=90,"61-90","90+")))))</f>
        <v>n/a</v>
      </c>
      <c r="L163" s="12" t="s">
        <v>673</v>
      </c>
    </row>
    <row r="164" spans="1:12">
      <c r="A164" s="12" t="s">
        <v>674</v>
      </c>
      <c r="B164" s="5" t="s">
        <v>384</v>
      </c>
      <c r="C164" s="5" t="s">
        <v>375</v>
      </c>
      <c r="D164" s="12" t="s">
        <v>134</v>
      </c>
      <c r="E164" s="3">
        <v>46020</v>
      </c>
      <c r="F164" s="3">
        <v>46035</v>
      </c>
      <c r="G164" s="6">
        <v>3678.84</v>
      </c>
      <c r="H164" s="5" t="s">
        <v>68</v>
      </c>
      <c r="I164" s="3">
        <v>46065</v>
      </c>
      <c r="J164" s="8">
        <f>AS_OF-F164</f>
        <v>240</v>
      </c>
      <c r="K164" s="5" t="str">
        <f>IF(OR(AND(H164&lt;&gt;"open",H164&lt;&gt;"partial"),G164&lt;=0),"n/a",IF(J164&lt;0,"current",IF(J164&lt;=30,"0-30",IF(J164&lt;=60,"31-60",IF(J164&lt;=90,"61-90","90+")))))</f>
        <v>n/a</v>
      </c>
      <c r="L164" s="12" t="s">
        <v>675</v>
      </c>
    </row>
    <row r="165" spans="1:12">
      <c r="A165" s="12" t="s">
        <v>676</v>
      </c>
      <c r="B165" s="5" t="s">
        <v>324</v>
      </c>
      <c r="C165" s="5" t="s">
        <v>325</v>
      </c>
      <c r="D165" s="12" t="s">
        <v>146</v>
      </c>
      <c r="E165" s="3">
        <v>46021</v>
      </c>
      <c r="F165" s="3">
        <v>46036</v>
      </c>
      <c r="G165" s="6">
        <v>6514.74</v>
      </c>
      <c r="H165" s="5" t="s">
        <v>68</v>
      </c>
      <c r="I165" s="3">
        <v>46048</v>
      </c>
      <c r="J165" s="8">
        <f>AS_OF-F165</f>
        <v>239</v>
      </c>
      <c r="K165" s="5" t="str">
        <f>IF(OR(AND(H165&lt;&gt;"open",H165&lt;&gt;"partial"),G165&lt;=0),"n/a",IF(J165&lt;0,"current",IF(J165&lt;=30,"0-30",IF(J165&lt;=60,"31-60",IF(J165&lt;=90,"61-90","90+")))))</f>
        <v>n/a</v>
      </c>
      <c r="L165" s="12" t="s">
        <v>677</v>
      </c>
    </row>
    <row r="166" spans="1:12">
      <c r="A166" s="12" t="s">
        <v>678</v>
      </c>
      <c r="B166" s="5" t="s">
        <v>346</v>
      </c>
      <c r="C166" s="5" t="s">
        <v>325</v>
      </c>
      <c r="D166" s="12" t="s">
        <v>146</v>
      </c>
      <c r="E166" s="3">
        <v>46031</v>
      </c>
      <c r="F166" s="3">
        <v>46038</v>
      </c>
      <c r="G166" s="6">
        <v>12651.48</v>
      </c>
      <c r="H166" s="5" t="s">
        <v>68</v>
      </c>
      <c r="I166" s="3">
        <v>46046</v>
      </c>
      <c r="J166" s="8">
        <f>AS_OF-F166</f>
        <v>237</v>
      </c>
      <c r="K166" s="5" t="str">
        <f>IF(OR(AND(H166&lt;&gt;"open",H166&lt;&gt;"partial"),G166&lt;=0),"n/a",IF(J166&lt;0,"current",IF(J166&lt;=30,"0-30",IF(J166&lt;=60,"31-60",IF(J166&lt;=90,"61-90","90+")))))</f>
        <v>n/a</v>
      </c>
      <c r="L166" s="12" t="s">
        <v>679</v>
      </c>
    </row>
    <row r="167" spans="1:12">
      <c r="A167" s="12" t="s">
        <v>680</v>
      </c>
      <c r="B167" s="5" t="s">
        <v>349</v>
      </c>
      <c r="C167" s="5" t="s">
        <v>340</v>
      </c>
      <c r="D167" s="12" t="s">
        <v>153</v>
      </c>
      <c r="E167" s="3">
        <v>46009</v>
      </c>
      <c r="F167" s="3">
        <v>46039</v>
      </c>
      <c r="G167" s="6">
        <v>4320.9</v>
      </c>
      <c r="H167" s="5" t="s">
        <v>68</v>
      </c>
      <c r="I167" s="3">
        <v>46048</v>
      </c>
      <c r="J167" s="8">
        <f>AS_OF-F167</f>
        <v>236</v>
      </c>
      <c r="K167" s="5" t="str">
        <f>IF(OR(AND(H167&lt;&gt;"open",H167&lt;&gt;"partial"),G167&lt;=0),"n/a",IF(J167&lt;0,"current",IF(J167&lt;=30,"0-30",IF(J167&lt;=60,"31-60",IF(J167&lt;=90,"61-90","90+")))))</f>
        <v>n/a</v>
      </c>
      <c r="L167" s="12" t="s">
        <v>681</v>
      </c>
    </row>
    <row r="168" spans="1:12">
      <c r="A168" s="12" t="s">
        <v>682</v>
      </c>
      <c r="B168" s="5" t="s">
        <v>650</v>
      </c>
      <c r="C168" s="5" t="s">
        <v>340</v>
      </c>
      <c r="D168" s="12" t="s">
        <v>162</v>
      </c>
      <c r="E168" s="3">
        <v>45995</v>
      </c>
      <c r="F168" s="3">
        <v>46040</v>
      </c>
      <c r="G168" s="6">
        <v>5796.18</v>
      </c>
      <c r="H168" s="5" t="s">
        <v>68</v>
      </c>
      <c r="I168" s="3">
        <v>46048</v>
      </c>
      <c r="J168" s="8">
        <f>AS_OF-F168</f>
        <v>235</v>
      </c>
      <c r="K168" s="5" t="str">
        <f>IF(OR(AND(H168&lt;&gt;"open",H168&lt;&gt;"partial"),G168&lt;=0),"n/a",IF(J168&lt;0,"current",IF(J168&lt;=30,"0-30",IF(J168&lt;=60,"31-60",IF(J168&lt;=90,"61-90","90+")))))</f>
        <v>n/a</v>
      </c>
      <c r="L168" s="12" t="s">
        <v>683</v>
      </c>
    </row>
    <row r="169" spans="1:12">
      <c r="A169" s="12" t="s">
        <v>684</v>
      </c>
      <c r="B169" s="5" t="s">
        <v>328</v>
      </c>
      <c r="C169" s="5" t="s">
        <v>329</v>
      </c>
      <c r="D169" s="12" t="s">
        <v>167</v>
      </c>
      <c r="E169" s="3">
        <v>46027</v>
      </c>
      <c r="F169" s="3">
        <v>46042</v>
      </c>
      <c r="G169" s="6">
        <v>3603.06</v>
      </c>
      <c r="H169" s="5" t="s">
        <v>68</v>
      </c>
      <c r="I169" s="3">
        <v>46056</v>
      </c>
      <c r="J169" s="8">
        <f>AS_OF-F169</f>
        <v>233</v>
      </c>
      <c r="K169" s="5" t="str">
        <f>IF(OR(AND(H169&lt;&gt;"open",H169&lt;&gt;"partial"),G169&lt;=0),"n/a",IF(J169&lt;0,"current",IF(J169&lt;=30,"0-30",IF(J169&lt;=60,"31-60",IF(J169&lt;=90,"61-90","90+")))))</f>
        <v>n/a</v>
      </c>
      <c r="L169" s="12" t="s">
        <v>685</v>
      </c>
    </row>
    <row r="170" spans="1:12">
      <c r="A170" s="12" t="s">
        <v>686</v>
      </c>
      <c r="B170" s="5" t="s">
        <v>393</v>
      </c>
      <c r="C170" s="5" t="s">
        <v>356</v>
      </c>
      <c r="D170" s="12" t="s">
        <v>139</v>
      </c>
      <c r="E170" s="3">
        <v>46013</v>
      </c>
      <c r="F170" s="3">
        <v>46043</v>
      </c>
      <c r="G170" s="6">
        <v>4084.56</v>
      </c>
      <c r="H170" s="5" t="s">
        <v>68</v>
      </c>
      <c r="I170" s="3">
        <v>46048</v>
      </c>
      <c r="J170" s="8">
        <f>AS_OF-F170</f>
        <v>232</v>
      </c>
      <c r="K170" s="5" t="str">
        <f>IF(OR(AND(H170&lt;&gt;"open",H170&lt;&gt;"partial"),G170&lt;=0),"n/a",IF(J170&lt;0,"current",IF(J170&lt;=30,"0-30",IF(J170&lt;=60,"31-60",IF(J170&lt;=90,"61-90","90+")))))</f>
        <v>n/a</v>
      </c>
      <c r="L170" s="12" t="s">
        <v>687</v>
      </c>
    </row>
    <row r="171" spans="1:12">
      <c r="A171" s="12" t="s">
        <v>688</v>
      </c>
      <c r="B171" s="5" t="s">
        <v>384</v>
      </c>
      <c r="C171" s="5" t="s">
        <v>375</v>
      </c>
      <c r="D171" s="12" t="s">
        <v>146</v>
      </c>
      <c r="E171" s="3">
        <v>46029</v>
      </c>
      <c r="F171" s="3">
        <v>46044</v>
      </c>
      <c r="G171" s="6">
        <v>3716.28</v>
      </c>
      <c r="H171" s="5" t="s">
        <v>68</v>
      </c>
      <c r="I171" s="3">
        <v>46052</v>
      </c>
      <c r="J171" s="8">
        <f>AS_OF-F171</f>
        <v>231</v>
      </c>
      <c r="K171" s="5" t="str">
        <f>IF(OR(AND(H171&lt;&gt;"open",H171&lt;&gt;"partial"),G171&lt;=0),"n/a",IF(J171&lt;0,"current",IF(J171&lt;=30,"0-30",IF(J171&lt;=60,"31-60",IF(J171&lt;=90,"61-90","90+")))))</f>
        <v>n/a</v>
      </c>
      <c r="L171" s="12" t="s">
        <v>689</v>
      </c>
    </row>
    <row r="172" spans="1:12">
      <c r="A172" s="12" t="s">
        <v>690</v>
      </c>
      <c r="B172" s="5" t="s">
        <v>366</v>
      </c>
      <c r="C172" s="5" t="s">
        <v>329</v>
      </c>
      <c r="D172" s="12" t="s">
        <v>153</v>
      </c>
      <c r="E172" s="3">
        <v>46029</v>
      </c>
      <c r="F172" s="3">
        <v>46044</v>
      </c>
      <c r="G172" s="6">
        <v>10545.48</v>
      </c>
      <c r="H172" s="5" t="s">
        <v>68</v>
      </c>
      <c r="I172" s="3">
        <v>46076</v>
      </c>
      <c r="J172" s="8">
        <f>AS_OF-F172</f>
        <v>231</v>
      </c>
      <c r="K172" s="5" t="str">
        <f>IF(OR(AND(H172&lt;&gt;"open",H172&lt;&gt;"partial"),G172&lt;=0),"n/a",IF(J172&lt;0,"current",IF(J172&lt;=30,"0-30",IF(J172&lt;=60,"31-60",IF(J172&lt;=90,"61-90","90+")))))</f>
        <v>n/a</v>
      </c>
      <c r="L172" s="12" t="s">
        <v>691</v>
      </c>
    </row>
    <row r="173" spans="1:12">
      <c r="A173" s="12" t="s">
        <v>692</v>
      </c>
      <c r="B173" s="5" t="s">
        <v>332</v>
      </c>
      <c r="C173" s="5" t="s">
        <v>325</v>
      </c>
      <c r="D173" s="12" t="s">
        <v>167</v>
      </c>
      <c r="E173" s="3">
        <v>46029</v>
      </c>
      <c r="F173" s="3">
        <v>46044</v>
      </c>
      <c r="G173" s="6">
        <v>22569.48</v>
      </c>
      <c r="H173" s="5" t="s">
        <v>68</v>
      </c>
      <c r="I173" s="3">
        <v>46052</v>
      </c>
      <c r="J173" s="8">
        <f>AS_OF-F173</f>
        <v>231</v>
      </c>
      <c r="K173" s="5" t="str">
        <f>IF(OR(AND(H173&lt;&gt;"open",H173&lt;&gt;"partial"),G173&lt;=0),"n/a",IF(J173&lt;0,"current",IF(J173&lt;=30,"0-30",IF(J173&lt;=60,"31-60",IF(J173&lt;=90,"61-90","90+")))))</f>
        <v>n/a</v>
      </c>
      <c r="L173" s="12" t="s">
        <v>693</v>
      </c>
    </row>
    <row r="174" spans="1:12">
      <c r="A174" s="12" t="s">
        <v>694</v>
      </c>
      <c r="B174" s="5" t="s">
        <v>410</v>
      </c>
      <c r="C174" s="5" t="s">
        <v>340</v>
      </c>
      <c r="D174" s="12" t="s">
        <v>146</v>
      </c>
      <c r="E174" s="3">
        <v>46016</v>
      </c>
      <c r="F174" s="3">
        <v>46046</v>
      </c>
      <c r="G174" s="6">
        <v>3959.82</v>
      </c>
      <c r="H174" s="5" t="s">
        <v>68</v>
      </c>
      <c r="I174" s="3">
        <v>46060</v>
      </c>
      <c r="J174" s="8">
        <f>AS_OF-F174</f>
        <v>229</v>
      </c>
      <c r="K174" s="5" t="str">
        <f>IF(OR(AND(H174&lt;&gt;"open",H174&lt;&gt;"partial"),G174&lt;=0),"n/a",IF(J174&lt;0,"current",IF(J174&lt;=30,"0-30",IF(J174&lt;=60,"31-60",IF(J174&lt;=90,"61-90","90+")))))</f>
        <v>n/a</v>
      </c>
      <c r="L174" s="12" t="s">
        <v>695</v>
      </c>
    </row>
    <row r="175" spans="1:12">
      <c r="A175" s="12" t="s">
        <v>696</v>
      </c>
      <c r="B175" s="5" t="s">
        <v>410</v>
      </c>
      <c r="C175" s="5" t="s">
        <v>340</v>
      </c>
      <c r="D175" s="12" t="s">
        <v>185</v>
      </c>
      <c r="E175" s="3">
        <v>46017</v>
      </c>
      <c r="F175" s="3">
        <v>46047</v>
      </c>
      <c r="G175" s="6">
        <v>11274.3</v>
      </c>
      <c r="H175" s="5" t="s">
        <v>68</v>
      </c>
      <c r="I175" s="3">
        <v>46070</v>
      </c>
      <c r="J175" s="8">
        <f>AS_OF-F175</f>
        <v>228</v>
      </c>
      <c r="K175" s="5" t="str">
        <f>IF(OR(AND(H175&lt;&gt;"open",H175&lt;&gt;"partial"),G175&lt;=0),"n/a",IF(J175&lt;0,"current",IF(J175&lt;=30,"0-30",IF(J175&lt;=60,"31-60",IF(J175&lt;=90,"61-90","90+")))))</f>
        <v>n/a</v>
      </c>
      <c r="L175" s="12" t="s">
        <v>697</v>
      </c>
    </row>
    <row r="176" spans="1:12">
      <c r="A176" s="12" t="s">
        <v>698</v>
      </c>
      <c r="B176" s="5" t="s">
        <v>346</v>
      </c>
      <c r="C176" s="5" t="s">
        <v>325</v>
      </c>
      <c r="D176" s="12" t="s">
        <v>167</v>
      </c>
      <c r="E176" s="3">
        <v>46040</v>
      </c>
      <c r="F176" s="3">
        <v>46047</v>
      </c>
      <c r="G176" s="6">
        <v>11569.5</v>
      </c>
      <c r="H176" s="5" t="s">
        <v>68</v>
      </c>
      <c r="I176" s="3">
        <v>46054</v>
      </c>
      <c r="J176" s="8">
        <f>AS_OF-F176</f>
        <v>228</v>
      </c>
      <c r="K176" s="5" t="str">
        <f>IF(OR(AND(H176&lt;&gt;"open",H176&lt;&gt;"partial"),G176&lt;=0),"n/a",IF(J176&lt;0,"current",IF(J176&lt;=30,"0-30",IF(J176&lt;=60,"31-60",IF(J176&lt;=90,"61-90","90+")))))</f>
        <v>n/a</v>
      </c>
      <c r="L176" s="12" t="s">
        <v>699</v>
      </c>
    </row>
    <row r="177" spans="1:12">
      <c r="A177" s="12" t="s">
        <v>700</v>
      </c>
      <c r="B177" s="5" t="s">
        <v>405</v>
      </c>
      <c r="C177" s="5" t="s">
        <v>340</v>
      </c>
      <c r="D177" s="12" t="s">
        <v>167</v>
      </c>
      <c r="E177" s="3">
        <v>46020</v>
      </c>
      <c r="F177" s="3">
        <v>46050</v>
      </c>
      <c r="G177" s="6">
        <v>7098.66</v>
      </c>
      <c r="H177" s="5" t="s">
        <v>68</v>
      </c>
      <c r="I177" s="3">
        <v>46060</v>
      </c>
      <c r="J177" s="8">
        <f>AS_OF-F177</f>
        <v>225</v>
      </c>
      <c r="K177" s="5" t="str">
        <f>IF(OR(AND(H177&lt;&gt;"open",H177&lt;&gt;"partial"),G177&lt;=0),"n/a",IF(J177&lt;0,"current",IF(J177&lt;=30,"0-30",IF(J177&lt;=60,"31-60",IF(J177&lt;=90,"61-90","90+")))))</f>
        <v>n/a</v>
      </c>
      <c r="L177" s="12" t="s">
        <v>701</v>
      </c>
    </row>
    <row r="178" spans="1:12">
      <c r="A178" s="12" t="s">
        <v>702</v>
      </c>
      <c r="B178" s="5" t="s">
        <v>426</v>
      </c>
      <c r="C178" s="5" t="s">
        <v>375</v>
      </c>
      <c r="D178" s="12" t="s">
        <v>162</v>
      </c>
      <c r="E178" s="3">
        <v>46041</v>
      </c>
      <c r="F178" s="3">
        <v>46056</v>
      </c>
      <c r="G178" s="6">
        <v>3971.7</v>
      </c>
      <c r="H178" s="5" t="s">
        <v>68</v>
      </c>
      <c r="I178" s="3">
        <v>46071</v>
      </c>
      <c r="J178" s="8">
        <f>AS_OF-F178</f>
        <v>219</v>
      </c>
      <c r="K178" s="5" t="str">
        <f>IF(OR(AND(H178&lt;&gt;"open",H178&lt;&gt;"partial"),G178&lt;=0),"n/a",IF(J178&lt;0,"current",IF(J178&lt;=30,"0-30",IF(J178&lt;=60,"31-60",IF(J178&lt;=90,"61-90","90+")))))</f>
        <v>n/a</v>
      </c>
      <c r="L178" s="12" t="s">
        <v>703</v>
      </c>
    </row>
    <row r="179" spans="1:12">
      <c r="A179" s="12" t="s">
        <v>704</v>
      </c>
      <c r="B179" s="5" t="s">
        <v>355</v>
      </c>
      <c r="C179" s="5" t="s">
        <v>356</v>
      </c>
      <c r="D179" s="12" t="s">
        <v>146</v>
      </c>
      <c r="E179" s="3">
        <v>46041</v>
      </c>
      <c r="F179" s="3">
        <v>46056</v>
      </c>
      <c r="G179" s="6">
        <v>3712.32</v>
      </c>
      <c r="H179" s="5" t="s">
        <v>68</v>
      </c>
      <c r="I179" s="3">
        <v>46062</v>
      </c>
      <c r="J179" s="8">
        <f>AS_OF-F179</f>
        <v>219</v>
      </c>
      <c r="K179" s="5" t="str">
        <f>IF(OR(AND(H179&lt;&gt;"open",H179&lt;&gt;"partial"),G179&lt;=0),"n/a",IF(J179&lt;0,"current",IF(J179&lt;=30,"0-30",IF(J179&lt;=60,"31-60",IF(J179&lt;=90,"61-90","90+")))))</f>
        <v>n/a</v>
      </c>
      <c r="L179" s="12" t="s">
        <v>705</v>
      </c>
    </row>
    <row r="180" spans="1:12">
      <c r="A180" s="12" t="s">
        <v>706</v>
      </c>
      <c r="B180" s="5" t="s">
        <v>410</v>
      </c>
      <c r="C180" s="5" t="s">
        <v>340</v>
      </c>
      <c r="D180" s="12" t="s">
        <v>153</v>
      </c>
      <c r="E180" s="3">
        <v>46026</v>
      </c>
      <c r="F180" s="3">
        <v>46056</v>
      </c>
      <c r="G180" s="6">
        <v>10282.32</v>
      </c>
      <c r="H180" s="5" t="s">
        <v>68</v>
      </c>
      <c r="I180" s="3">
        <v>46069</v>
      </c>
      <c r="J180" s="8">
        <f>AS_OF-F180</f>
        <v>219</v>
      </c>
      <c r="K180" s="5" t="str">
        <f>IF(OR(AND(H180&lt;&gt;"open",H180&lt;&gt;"partial"),G180&lt;=0),"n/a",IF(J180&lt;0,"current",IF(J180&lt;=30,"0-30",IF(J180&lt;=60,"31-60",IF(J180&lt;=90,"61-90","90+")))))</f>
        <v>n/a</v>
      </c>
      <c r="L180" s="12" t="s">
        <v>707</v>
      </c>
    </row>
    <row r="181" spans="1:12">
      <c r="A181" s="12" t="s">
        <v>708</v>
      </c>
      <c r="B181" s="5" t="s">
        <v>366</v>
      </c>
      <c r="C181" s="5" t="s">
        <v>329</v>
      </c>
      <c r="D181" s="12" t="s">
        <v>167</v>
      </c>
      <c r="E181" s="3">
        <v>46042</v>
      </c>
      <c r="F181" s="3">
        <v>46057</v>
      </c>
      <c r="G181" s="6">
        <v>17664.84</v>
      </c>
      <c r="H181" s="5" t="s">
        <v>68</v>
      </c>
      <c r="I181" s="3">
        <v>46069</v>
      </c>
      <c r="J181" s="8">
        <f>AS_OF-F181</f>
        <v>218</v>
      </c>
      <c r="K181" s="5" t="str">
        <f>IF(OR(AND(H181&lt;&gt;"open",H181&lt;&gt;"partial"),G181&lt;=0),"n/a",IF(J181&lt;0,"current",IF(J181&lt;=30,"0-30",IF(J181&lt;=60,"31-60",IF(J181&lt;=90,"61-90","90+")))))</f>
        <v>n/a</v>
      </c>
      <c r="L181" s="12" t="s">
        <v>709</v>
      </c>
    </row>
    <row r="182" spans="1:12">
      <c r="A182" s="12" t="s">
        <v>710</v>
      </c>
      <c r="B182" s="5" t="s">
        <v>402</v>
      </c>
      <c r="C182" s="5" t="s">
        <v>329</v>
      </c>
      <c r="D182" s="12" t="s">
        <v>146</v>
      </c>
      <c r="E182" s="3">
        <v>46044</v>
      </c>
      <c r="F182" s="3">
        <v>46059</v>
      </c>
      <c r="G182" s="6">
        <v>3645</v>
      </c>
      <c r="H182" s="5" t="s">
        <v>68</v>
      </c>
      <c r="I182" s="3">
        <v>46067</v>
      </c>
      <c r="J182" s="8">
        <f>AS_OF-F182</f>
        <v>216</v>
      </c>
      <c r="K182" s="5" t="str">
        <f>IF(OR(AND(H182&lt;&gt;"open",H182&lt;&gt;"partial"),G182&lt;=0),"n/a",IF(J182&lt;0,"current",IF(J182&lt;=30,"0-30",IF(J182&lt;=60,"31-60",IF(J182&lt;=90,"61-90","90+")))))</f>
        <v>n/a</v>
      </c>
      <c r="L182" s="12" t="s">
        <v>711</v>
      </c>
    </row>
    <row r="183" spans="1:12">
      <c r="A183" s="12" t="s">
        <v>712</v>
      </c>
      <c r="B183" s="5" t="s">
        <v>355</v>
      </c>
      <c r="C183" s="5" t="s">
        <v>356</v>
      </c>
      <c r="D183" s="12" t="s">
        <v>180</v>
      </c>
      <c r="E183" s="3">
        <v>46047</v>
      </c>
      <c r="F183" s="3">
        <v>46062</v>
      </c>
      <c r="G183" s="6">
        <v>6197.4</v>
      </c>
      <c r="H183" s="5" t="s">
        <v>68</v>
      </c>
      <c r="I183" s="3">
        <v>46075</v>
      </c>
      <c r="J183" s="8">
        <f>AS_OF-F183</f>
        <v>213</v>
      </c>
      <c r="K183" s="5" t="str">
        <f>IF(OR(AND(H183&lt;&gt;"open",H183&lt;&gt;"partial"),G183&lt;=0),"n/a",IF(J183&lt;0,"current",IF(J183&lt;=30,"0-30",IF(J183&lt;=60,"31-60",IF(J183&lt;=90,"61-90","90+")))))</f>
        <v>n/a</v>
      </c>
      <c r="L183" s="12" t="s">
        <v>713</v>
      </c>
    </row>
    <row r="184" spans="1:12">
      <c r="A184" s="12" t="s">
        <v>714</v>
      </c>
      <c r="B184" s="5" t="s">
        <v>324</v>
      </c>
      <c r="C184" s="5" t="s">
        <v>325</v>
      </c>
      <c r="D184" s="12" t="s">
        <v>153</v>
      </c>
      <c r="E184" s="3">
        <v>46048</v>
      </c>
      <c r="F184" s="3">
        <v>46063</v>
      </c>
      <c r="G184" s="6">
        <v>13318.56</v>
      </c>
      <c r="H184" s="5" t="s">
        <v>68</v>
      </c>
      <c r="I184" s="3">
        <v>46083</v>
      </c>
      <c r="J184" s="8">
        <f>AS_OF-F184</f>
        <v>212</v>
      </c>
      <c r="K184" s="5" t="str">
        <f>IF(OR(AND(H184&lt;&gt;"open",H184&lt;&gt;"partial"),G184&lt;=0),"n/a",IF(J184&lt;0,"current",IF(J184&lt;=30,"0-30",IF(J184&lt;=60,"31-60",IF(J184&lt;=90,"61-90","90+")))))</f>
        <v>n/a</v>
      </c>
      <c r="L184" s="12" t="s">
        <v>715</v>
      </c>
    </row>
    <row r="185" spans="1:12">
      <c r="A185" s="12" t="s">
        <v>716</v>
      </c>
      <c r="B185" s="5" t="s">
        <v>324</v>
      </c>
      <c r="C185" s="5" t="s">
        <v>325</v>
      </c>
      <c r="D185" s="12" t="s">
        <v>185</v>
      </c>
      <c r="E185" s="3">
        <v>46051</v>
      </c>
      <c r="F185" s="3">
        <v>46066</v>
      </c>
      <c r="G185" s="6">
        <v>9646.200000000001</v>
      </c>
      <c r="H185" s="5" t="s">
        <v>68</v>
      </c>
      <c r="I185" s="3">
        <v>46082</v>
      </c>
      <c r="J185" s="8">
        <f>AS_OF-F185</f>
        <v>209</v>
      </c>
      <c r="K185" s="5" t="str">
        <f>IF(OR(AND(H185&lt;&gt;"open",H185&lt;&gt;"partial"),G185&lt;=0),"n/a",IF(J185&lt;0,"current",IF(J185&lt;=30,"0-30",IF(J185&lt;=60,"31-60",IF(J185&lt;=90,"61-90","90+")))))</f>
        <v>n/a</v>
      </c>
      <c r="L185" s="12" t="s">
        <v>717</v>
      </c>
    </row>
    <row r="186" spans="1:12">
      <c r="A186" s="12" t="s">
        <v>718</v>
      </c>
      <c r="B186" s="5" t="s">
        <v>346</v>
      </c>
      <c r="C186" s="5" t="s">
        <v>325</v>
      </c>
      <c r="D186" s="12" t="s">
        <v>180</v>
      </c>
      <c r="E186" s="3">
        <v>46059</v>
      </c>
      <c r="F186" s="3">
        <v>46066</v>
      </c>
      <c r="G186" s="6">
        <v>11873.7</v>
      </c>
      <c r="H186" s="5" t="s">
        <v>68</v>
      </c>
      <c r="I186" s="3">
        <v>46074</v>
      </c>
      <c r="J186" s="8">
        <f>AS_OF-F186</f>
        <v>209</v>
      </c>
      <c r="K186" s="5" t="str">
        <f>IF(OR(AND(H186&lt;&gt;"open",H186&lt;&gt;"partial"),G186&lt;=0),"n/a",IF(J186&lt;0,"current",IF(J186&lt;=30,"0-30",IF(J186&lt;=60,"31-60",IF(J186&lt;=90,"61-90","90+")))))</f>
        <v>n/a</v>
      </c>
      <c r="L186" s="12" t="s">
        <v>719</v>
      </c>
    </row>
    <row r="187" spans="1:12">
      <c r="A187" s="12" t="s">
        <v>720</v>
      </c>
      <c r="B187" s="5" t="s">
        <v>324</v>
      </c>
      <c r="C187" s="5" t="s">
        <v>325</v>
      </c>
      <c r="D187" s="12" t="s">
        <v>162</v>
      </c>
      <c r="E187" s="3">
        <v>46052</v>
      </c>
      <c r="F187" s="3">
        <v>46067</v>
      </c>
      <c r="G187" s="6">
        <v>11055.6</v>
      </c>
      <c r="H187" s="5" t="s">
        <v>68</v>
      </c>
      <c r="I187" s="3">
        <v>46077</v>
      </c>
      <c r="J187" s="8">
        <f>AS_OF-F187</f>
        <v>208</v>
      </c>
      <c r="K187" s="5" t="str">
        <f>IF(OR(AND(H187&lt;&gt;"open",H187&lt;&gt;"partial"),G187&lt;=0),"n/a",IF(J187&lt;0,"current",IF(J187&lt;=30,"0-30",IF(J187&lt;=60,"31-60",IF(J187&lt;=90,"61-90","90+")))))</f>
        <v>n/a</v>
      </c>
      <c r="L187" s="12" t="s">
        <v>721</v>
      </c>
    </row>
    <row r="188" spans="1:12">
      <c r="A188" s="12" t="s">
        <v>722</v>
      </c>
      <c r="B188" s="5" t="s">
        <v>349</v>
      </c>
      <c r="C188" s="5" t="s">
        <v>340</v>
      </c>
      <c r="D188" s="12" t="s">
        <v>167</v>
      </c>
      <c r="E188" s="3">
        <v>46038</v>
      </c>
      <c r="F188" s="3">
        <v>46068</v>
      </c>
      <c r="G188" s="6">
        <v>4114.8</v>
      </c>
      <c r="H188" s="5" t="s">
        <v>68</v>
      </c>
      <c r="I188" s="3">
        <v>46083</v>
      </c>
      <c r="J188" s="8">
        <f>AS_OF-F188</f>
        <v>207</v>
      </c>
      <c r="K188" s="5" t="str">
        <f>IF(OR(AND(H188&lt;&gt;"open",H188&lt;&gt;"partial"),G188&lt;=0),"n/a",IF(J188&lt;0,"current",IF(J188&lt;=30,"0-30",IF(J188&lt;=60,"31-60",IF(J188&lt;=90,"61-90","90+")))))</f>
        <v>n/a</v>
      </c>
      <c r="L188" s="12" t="s">
        <v>723</v>
      </c>
    </row>
    <row r="189" spans="1:12">
      <c r="A189" s="12" t="s">
        <v>724</v>
      </c>
      <c r="B189" s="5" t="s">
        <v>443</v>
      </c>
      <c r="C189" s="5" t="s">
        <v>329</v>
      </c>
      <c r="D189" s="12" t="s">
        <v>185</v>
      </c>
      <c r="E189" s="3">
        <v>46054</v>
      </c>
      <c r="F189" s="3">
        <v>46069</v>
      </c>
      <c r="G189" s="6">
        <v>11102.4</v>
      </c>
      <c r="H189" s="5" t="s">
        <v>68</v>
      </c>
      <c r="I189" s="3">
        <v>46073</v>
      </c>
      <c r="J189" s="8">
        <f>AS_OF-F189</f>
        <v>206</v>
      </c>
      <c r="K189" s="5" t="str">
        <f>IF(OR(AND(H189&lt;&gt;"open",H189&lt;&gt;"partial"),G189&lt;=0),"n/a",IF(J189&lt;0,"current",IF(J189&lt;=30,"0-30",IF(J189&lt;=60,"31-60",IF(J189&lt;=90,"61-90","90+")))))</f>
        <v>n/a</v>
      </c>
      <c r="L189" s="12" t="s">
        <v>725</v>
      </c>
    </row>
    <row r="190" spans="1:12">
      <c r="A190" s="12" t="s">
        <v>726</v>
      </c>
      <c r="B190" s="5" t="s">
        <v>410</v>
      </c>
      <c r="C190" s="5" t="s">
        <v>340</v>
      </c>
      <c r="D190" s="12" t="s">
        <v>146</v>
      </c>
      <c r="E190" s="3">
        <v>46040</v>
      </c>
      <c r="F190" s="3">
        <v>46070</v>
      </c>
      <c r="G190" s="6">
        <v>6476.4</v>
      </c>
      <c r="H190" s="5" t="s">
        <v>68</v>
      </c>
      <c r="I190" s="3">
        <v>46084</v>
      </c>
      <c r="J190" s="8">
        <f>AS_OF-F190</f>
        <v>205</v>
      </c>
      <c r="K190" s="5" t="str">
        <f>IF(OR(AND(H190&lt;&gt;"open",H190&lt;&gt;"partial"),G190&lt;=0),"n/a",IF(J190&lt;0,"current",IF(J190&lt;=30,"0-30",IF(J190&lt;=60,"31-60",IF(J190&lt;=90,"61-90","90+")))))</f>
        <v>n/a</v>
      </c>
      <c r="L190" s="12" t="s">
        <v>727</v>
      </c>
    </row>
    <row r="191" spans="1:12">
      <c r="A191" s="12" t="s">
        <v>728</v>
      </c>
      <c r="B191" s="5" t="s">
        <v>446</v>
      </c>
      <c r="C191" s="5" t="s">
        <v>356</v>
      </c>
      <c r="D191" s="12" t="s">
        <v>153</v>
      </c>
      <c r="E191" s="3">
        <v>46040</v>
      </c>
      <c r="F191" s="3">
        <v>46070</v>
      </c>
      <c r="G191" s="6">
        <v>3844.98</v>
      </c>
      <c r="H191" s="5" t="s">
        <v>68</v>
      </c>
      <c r="I191" s="3">
        <v>46087</v>
      </c>
      <c r="J191" s="8">
        <f>AS_OF-F191</f>
        <v>205</v>
      </c>
      <c r="K191" s="5" t="str">
        <f>IF(OR(AND(H191&lt;&gt;"open",H191&lt;&gt;"partial"),G191&lt;=0),"n/a",IF(J191&lt;0,"current",IF(J191&lt;=30,"0-30",IF(J191&lt;=60,"31-60",IF(J191&lt;=90,"61-90","90+")))))</f>
        <v>n/a</v>
      </c>
      <c r="L191" s="12" t="s">
        <v>729</v>
      </c>
    </row>
    <row r="192" spans="1:12">
      <c r="A192" s="12" t="s">
        <v>730</v>
      </c>
      <c r="B192" s="5" t="s">
        <v>393</v>
      </c>
      <c r="C192" s="5" t="s">
        <v>356</v>
      </c>
      <c r="D192" s="12" t="s">
        <v>153</v>
      </c>
      <c r="E192" s="3">
        <v>46042</v>
      </c>
      <c r="F192" s="3">
        <v>46072</v>
      </c>
      <c r="G192" s="6">
        <v>3672</v>
      </c>
      <c r="H192" s="5" t="s">
        <v>68</v>
      </c>
      <c r="I192" s="3">
        <v>46081</v>
      </c>
      <c r="J192" s="8">
        <f>AS_OF-F192</f>
        <v>203</v>
      </c>
      <c r="K192" s="5" t="str">
        <f>IF(OR(AND(H192&lt;&gt;"open",H192&lt;&gt;"partial"),G192&lt;=0),"n/a",IF(J192&lt;0,"current",IF(J192&lt;=30,"0-30",IF(J192&lt;=60,"31-60",IF(J192&lt;=90,"61-90","90+")))))</f>
        <v>n/a</v>
      </c>
      <c r="L192" s="12" t="s">
        <v>731</v>
      </c>
    </row>
    <row r="193" spans="1:12">
      <c r="A193" s="12" t="s">
        <v>732</v>
      </c>
      <c r="B193" s="5" t="s">
        <v>396</v>
      </c>
      <c r="C193" s="5" t="s">
        <v>356</v>
      </c>
      <c r="D193" s="12" t="s">
        <v>174</v>
      </c>
      <c r="E193" s="3">
        <v>46043</v>
      </c>
      <c r="F193" s="3">
        <v>46073</v>
      </c>
      <c r="G193" s="6">
        <v>3661.2</v>
      </c>
      <c r="H193" s="5" t="s">
        <v>68</v>
      </c>
      <c r="I193" s="3">
        <v>46100</v>
      </c>
      <c r="J193" s="8">
        <f>AS_OF-F193</f>
        <v>202</v>
      </c>
      <c r="K193" s="5" t="str">
        <f>IF(OR(AND(H193&lt;&gt;"open",H193&lt;&gt;"partial"),G193&lt;=0),"n/a",IF(J193&lt;0,"current",IF(J193&lt;=30,"0-30",IF(J193&lt;=60,"31-60",IF(J193&lt;=90,"61-90","90+")))))</f>
        <v>n/a</v>
      </c>
      <c r="L193" s="12" t="s">
        <v>733</v>
      </c>
    </row>
    <row r="194" spans="1:12">
      <c r="A194" s="12" t="s">
        <v>734</v>
      </c>
      <c r="B194" s="5" t="s">
        <v>399</v>
      </c>
      <c r="C194" s="5" t="s">
        <v>375</v>
      </c>
      <c r="D194" s="12" t="s">
        <v>167</v>
      </c>
      <c r="E194" s="3">
        <v>46058</v>
      </c>
      <c r="F194" s="3">
        <v>46073</v>
      </c>
      <c r="G194" s="6">
        <v>4351.32</v>
      </c>
      <c r="H194" s="5" t="s">
        <v>68</v>
      </c>
      <c r="I194" s="3">
        <v>46088</v>
      </c>
      <c r="J194" s="8">
        <f>AS_OF-F194</f>
        <v>202</v>
      </c>
      <c r="K194" s="5" t="str">
        <f>IF(OR(AND(H194&lt;&gt;"open",H194&lt;&gt;"partial"),G194&lt;=0),"n/a",IF(J194&lt;0,"current",IF(J194&lt;=30,"0-30",IF(J194&lt;=60,"31-60",IF(J194&lt;=90,"61-90","90+")))))</f>
        <v>n/a</v>
      </c>
      <c r="L194" s="12" t="s">
        <v>735</v>
      </c>
    </row>
    <row r="195" spans="1:12">
      <c r="A195" s="12" t="s">
        <v>736</v>
      </c>
      <c r="B195" s="5" t="s">
        <v>384</v>
      </c>
      <c r="C195" s="5" t="s">
        <v>375</v>
      </c>
      <c r="D195" s="12" t="s">
        <v>185</v>
      </c>
      <c r="E195" s="3">
        <v>46059</v>
      </c>
      <c r="F195" s="3">
        <v>46074</v>
      </c>
      <c r="G195" s="6">
        <v>3676.32</v>
      </c>
      <c r="H195" s="5" t="s">
        <v>68</v>
      </c>
      <c r="I195" s="3">
        <v>46089</v>
      </c>
      <c r="J195" s="8">
        <f>AS_OF-F195</f>
        <v>201</v>
      </c>
      <c r="K195" s="5" t="str">
        <f>IF(OR(AND(H195&lt;&gt;"open",H195&lt;&gt;"partial"),G195&lt;=0),"n/a",IF(J195&lt;0,"current",IF(J195&lt;=30,"0-30",IF(J195&lt;=60,"31-60",IF(J195&lt;=90,"61-90","90+")))))</f>
        <v>n/a</v>
      </c>
      <c r="L195" s="12" t="s">
        <v>737</v>
      </c>
    </row>
    <row r="196" spans="1:12">
      <c r="A196" s="12" t="s">
        <v>738</v>
      </c>
      <c r="B196" s="5" t="s">
        <v>426</v>
      </c>
      <c r="C196" s="5" t="s">
        <v>375</v>
      </c>
      <c r="D196" s="12" t="s">
        <v>167</v>
      </c>
      <c r="E196" s="3">
        <v>46059</v>
      </c>
      <c r="F196" s="3">
        <v>46074</v>
      </c>
      <c r="G196" s="6">
        <v>3648.24</v>
      </c>
      <c r="H196" s="5" t="s">
        <v>68</v>
      </c>
      <c r="I196" s="3">
        <v>46082</v>
      </c>
      <c r="J196" s="8">
        <f>AS_OF-F196</f>
        <v>201</v>
      </c>
      <c r="K196" s="5" t="str">
        <f>IF(OR(AND(H196&lt;&gt;"open",H196&lt;&gt;"partial"),G196&lt;=0),"n/a",IF(J196&lt;0,"current",IF(J196&lt;=30,"0-30",IF(J196&lt;=60,"31-60",IF(J196&lt;=90,"61-90","90+")))))</f>
        <v>n/a</v>
      </c>
      <c r="L196" s="12" t="s">
        <v>739</v>
      </c>
    </row>
    <row r="197" spans="1:12">
      <c r="A197" s="12" t="s">
        <v>740</v>
      </c>
      <c r="B197" s="5" t="s">
        <v>402</v>
      </c>
      <c r="C197" s="5" t="s">
        <v>329</v>
      </c>
      <c r="D197" s="12" t="s">
        <v>174</v>
      </c>
      <c r="E197" s="3">
        <v>46060</v>
      </c>
      <c r="F197" s="3">
        <v>46075</v>
      </c>
      <c r="G197" s="6">
        <v>6350.04</v>
      </c>
      <c r="H197" s="5" t="s">
        <v>68</v>
      </c>
      <c r="I197" s="3">
        <v>46090</v>
      </c>
      <c r="J197" s="8">
        <f>AS_OF-F197</f>
        <v>200</v>
      </c>
      <c r="K197" s="5" t="str">
        <f>IF(OR(AND(H197&lt;&gt;"open",H197&lt;&gt;"partial"),G197&lt;=0),"n/a",IF(J197&lt;0,"current",IF(J197&lt;=30,"0-30",IF(J197&lt;=60,"31-60",IF(J197&lt;=90,"61-90","90+")))))</f>
        <v>n/a</v>
      </c>
      <c r="L197" s="12" t="s">
        <v>741</v>
      </c>
    </row>
    <row r="198" spans="1:12">
      <c r="A198" s="12" t="s">
        <v>742</v>
      </c>
      <c r="B198" s="5" t="s">
        <v>355</v>
      </c>
      <c r="C198" s="5" t="s">
        <v>356</v>
      </c>
      <c r="D198" s="12" t="s">
        <v>188</v>
      </c>
      <c r="E198" s="3">
        <v>46060</v>
      </c>
      <c r="F198" s="3">
        <v>46075</v>
      </c>
      <c r="G198" s="6">
        <v>3875.4</v>
      </c>
      <c r="H198" s="5" t="s">
        <v>68</v>
      </c>
      <c r="I198" s="3">
        <v>46087</v>
      </c>
      <c r="J198" s="8">
        <f>AS_OF-F198</f>
        <v>200</v>
      </c>
      <c r="K198" s="5" t="str">
        <f>IF(OR(AND(H198&lt;&gt;"open",H198&lt;&gt;"partial"),G198&lt;=0),"n/a",IF(J198&lt;0,"current",IF(J198&lt;=30,"0-30",IF(J198&lt;=60,"31-60",IF(J198&lt;=90,"61-90","90+")))))</f>
        <v>n/a</v>
      </c>
      <c r="L198" s="12" t="s">
        <v>743</v>
      </c>
    </row>
    <row r="199" spans="1:12">
      <c r="A199" s="12" t="s">
        <v>744</v>
      </c>
      <c r="B199" s="5" t="s">
        <v>426</v>
      </c>
      <c r="C199" s="5" t="s">
        <v>375</v>
      </c>
      <c r="D199" s="12" t="s">
        <v>188</v>
      </c>
      <c r="E199" s="3">
        <v>46060</v>
      </c>
      <c r="F199" s="3">
        <v>46075</v>
      </c>
      <c r="G199" s="6">
        <v>4044.6</v>
      </c>
      <c r="H199" s="5" t="s">
        <v>68</v>
      </c>
      <c r="I199" s="3">
        <v>46092</v>
      </c>
      <c r="J199" s="8">
        <f>AS_OF-F199</f>
        <v>200</v>
      </c>
      <c r="K199" s="5" t="str">
        <f>IF(OR(AND(H199&lt;&gt;"open",H199&lt;&gt;"partial"),G199&lt;=0),"n/a",IF(J199&lt;0,"current",IF(J199&lt;=30,"0-30",IF(J199&lt;=60,"31-60",IF(J199&lt;=90,"61-90","90+")))))</f>
        <v>n/a</v>
      </c>
      <c r="L199" s="12" t="s">
        <v>745</v>
      </c>
    </row>
    <row r="200" spans="1:12">
      <c r="A200" s="12" t="s">
        <v>746</v>
      </c>
      <c r="B200" s="5" t="s">
        <v>534</v>
      </c>
      <c r="C200" s="5" t="s">
        <v>356</v>
      </c>
      <c r="D200" s="12" t="s">
        <v>167</v>
      </c>
      <c r="E200" s="3">
        <v>46046</v>
      </c>
      <c r="F200" s="3">
        <v>46076</v>
      </c>
      <c r="G200" s="6">
        <v>3600</v>
      </c>
      <c r="H200" s="5" t="s">
        <v>68</v>
      </c>
      <c r="I200" s="3">
        <v>46082</v>
      </c>
      <c r="J200" s="8">
        <f>AS_OF-F200</f>
        <v>199</v>
      </c>
      <c r="K200" s="5" t="str">
        <f>IF(OR(AND(H200&lt;&gt;"open",H200&lt;&gt;"partial"),G200&lt;=0),"n/a",IF(J200&lt;0,"current",IF(J200&lt;=30,"0-30",IF(J200&lt;=60,"31-60",IF(J200&lt;=90,"61-90","90+")))))</f>
        <v>n/a</v>
      </c>
      <c r="L200" s="12" t="s">
        <v>747</v>
      </c>
    </row>
    <row r="201" spans="1:12">
      <c r="A201" s="12" t="s">
        <v>748</v>
      </c>
      <c r="B201" s="5" t="s">
        <v>405</v>
      </c>
      <c r="C201" s="5" t="s">
        <v>340</v>
      </c>
      <c r="D201" s="12" t="s">
        <v>185</v>
      </c>
      <c r="E201" s="3">
        <v>46046</v>
      </c>
      <c r="F201" s="3">
        <v>46076</v>
      </c>
      <c r="G201" s="6">
        <v>5934.24</v>
      </c>
      <c r="H201" s="5" t="s">
        <v>68</v>
      </c>
      <c r="I201" s="3">
        <v>46087</v>
      </c>
      <c r="J201" s="8">
        <f>AS_OF-F201</f>
        <v>199</v>
      </c>
      <c r="K201" s="5" t="str">
        <f>IF(OR(AND(H201&lt;&gt;"open",H201&lt;&gt;"partial"),G201&lt;=0),"n/a",IF(J201&lt;0,"current",IF(J201&lt;=30,"0-30",IF(J201&lt;=60,"31-60",IF(J201&lt;=90,"61-90","90+")))))</f>
        <v>n/a</v>
      </c>
      <c r="L201" s="12" t="s">
        <v>749</v>
      </c>
    </row>
    <row r="202" spans="1:12">
      <c r="A202" s="12" t="s">
        <v>750</v>
      </c>
      <c r="B202" s="5" t="s">
        <v>346</v>
      </c>
      <c r="C202" s="5" t="s">
        <v>325</v>
      </c>
      <c r="D202" s="12" t="s">
        <v>201</v>
      </c>
      <c r="E202" s="3">
        <v>46069</v>
      </c>
      <c r="F202" s="3">
        <v>46076</v>
      </c>
      <c r="G202" s="6">
        <v>7209</v>
      </c>
      <c r="H202" s="5" t="s">
        <v>68</v>
      </c>
      <c r="I202" s="3">
        <v>46086</v>
      </c>
      <c r="J202" s="8">
        <f>AS_OF-F202</f>
        <v>199</v>
      </c>
      <c r="K202" s="5" t="str">
        <f>IF(OR(AND(H202&lt;&gt;"open",H202&lt;&gt;"partial"),G202&lt;=0),"n/a",IF(J202&lt;0,"current",IF(J202&lt;=30,"0-30",IF(J202&lt;=60,"31-60",IF(J202&lt;=90,"61-90","90+")))))</f>
        <v>n/a</v>
      </c>
      <c r="L202" s="12" t="s">
        <v>751</v>
      </c>
    </row>
    <row r="203" spans="1:12">
      <c r="A203" s="12" t="s">
        <v>752</v>
      </c>
      <c r="B203" s="5" t="s">
        <v>349</v>
      </c>
      <c r="C203" s="5" t="s">
        <v>340</v>
      </c>
      <c r="D203" s="12" t="s">
        <v>174</v>
      </c>
      <c r="E203" s="3">
        <v>46047</v>
      </c>
      <c r="F203" s="3">
        <v>46077</v>
      </c>
      <c r="G203" s="6">
        <v>11710.8</v>
      </c>
      <c r="H203" s="5" t="s">
        <v>68</v>
      </c>
      <c r="I203" s="3">
        <v>46101</v>
      </c>
      <c r="J203" s="8">
        <f>AS_OF-F203</f>
        <v>198</v>
      </c>
      <c r="K203" s="5" t="str">
        <f>IF(OR(AND(H203&lt;&gt;"open",H203&lt;&gt;"partial"),G203&lt;=0),"n/a",IF(J203&lt;0,"current",IF(J203&lt;=30,"0-30",IF(J203&lt;=60,"31-60",IF(J203&lt;=90,"61-90","90+")))))</f>
        <v>n/a</v>
      </c>
      <c r="L203" s="12" t="s">
        <v>753</v>
      </c>
    </row>
    <row r="204" spans="1:12">
      <c r="A204" s="12" t="s">
        <v>754</v>
      </c>
      <c r="B204" s="5" t="s">
        <v>324</v>
      </c>
      <c r="C204" s="5" t="s">
        <v>325</v>
      </c>
      <c r="D204" s="12" t="s">
        <v>167</v>
      </c>
      <c r="E204" s="3">
        <v>46063</v>
      </c>
      <c r="F204" s="3">
        <v>46078</v>
      </c>
      <c r="G204" s="6">
        <v>21787.74</v>
      </c>
      <c r="H204" s="5" t="s">
        <v>68</v>
      </c>
      <c r="I204" s="3">
        <v>46093</v>
      </c>
      <c r="J204" s="8">
        <f>AS_OF-F204</f>
        <v>197</v>
      </c>
      <c r="K204" s="5" t="str">
        <f>IF(OR(AND(H204&lt;&gt;"open",H204&lt;&gt;"partial"),G204&lt;=0),"n/a",IF(J204&lt;0,"current",IF(J204&lt;=30,"0-30",IF(J204&lt;=60,"31-60",IF(J204&lt;=90,"61-90","90+")))))</f>
        <v>n/a</v>
      </c>
      <c r="L204" s="12" t="s">
        <v>755</v>
      </c>
    </row>
    <row r="205" spans="1:12">
      <c r="A205" s="12" t="s">
        <v>756</v>
      </c>
      <c r="B205" s="5" t="s">
        <v>543</v>
      </c>
      <c r="C205" s="5" t="s">
        <v>329</v>
      </c>
      <c r="D205" s="12" t="s">
        <v>167</v>
      </c>
      <c r="E205" s="3">
        <v>46048</v>
      </c>
      <c r="F205" s="3">
        <v>46078</v>
      </c>
      <c r="G205" s="6">
        <v>14398.92</v>
      </c>
      <c r="H205" s="5" t="s">
        <v>68</v>
      </c>
      <c r="I205" s="3">
        <v>46103</v>
      </c>
      <c r="J205" s="8">
        <f>AS_OF-F205</f>
        <v>197</v>
      </c>
      <c r="K205" s="5" t="str">
        <f>IF(OR(AND(H205&lt;&gt;"open",H205&lt;&gt;"partial"),G205&lt;=0),"n/a",IF(J205&lt;0,"current",IF(J205&lt;=30,"0-30",IF(J205&lt;=60,"31-60",IF(J205&lt;=90,"61-90","90+")))))</f>
        <v>n/a</v>
      </c>
      <c r="L205" s="12" t="s">
        <v>757</v>
      </c>
    </row>
    <row r="206" spans="1:12">
      <c r="A206" s="12" t="s">
        <v>758</v>
      </c>
      <c r="B206" s="5" t="s">
        <v>543</v>
      </c>
      <c r="C206" s="5" t="s">
        <v>329</v>
      </c>
      <c r="D206" s="12" t="s">
        <v>188</v>
      </c>
      <c r="E206" s="3">
        <v>46048</v>
      </c>
      <c r="F206" s="3">
        <v>46078</v>
      </c>
      <c r="G206" s="6">
        <v>10044</v>
      </c>
      <c r="H206" s="5" t="s">
        <v>68</v>
      </c>
      <c r="I206" s="3">
        <v>46091</v>
      </c>
      <c r="J206" s="8">
        <f>AS_OF-F206</f>
        <v>197</v>
      </c>
      <c r="K206" s="5" t="str">
        <f>IF(OR(AND(H206&lt;&gt;"open",H206&lt;&gt;"partial"),G206&lt;=0),"n/a",IF(J206&lt;0,"current",IF(J206&lt;=30,"0-30",IF(J206&lt;=60,"31-60",IF(J206&lt;=90,"61-90","90+")))))</f>
        <v>n/a</v>
      </c>
      <c r="L206" s="12" t="s">
        <v>759</v>
      </c>
    </row>
    <row r="207" spans="1:12">
      <c r="A207" s="12" t="s">
        <v>760</v>
      </c>
      <c r="B207" s="5" t="s">
        <v>352</v>
      </c>
      <c r="C207" s="5" t="s">
        <v>325</v>
      </c>
      <c r="D207" s="12" t="s">
        <v>185</v>
      </c>
      <c r="E207" s="3">
        <v>46073</v>
      </c>
      <c r="F207" s="3">
        <v>46080</v>
      </c>
      <c r="G207" s="6">
        <v>8011.62</v>
      </c>
      <c r="H207" s="5" t="s">
        <v>68</v>
      </c>
      <c r="I207" s="3">
        <v>46096</v>
      </c>
      <c r="J207" s="8">
        <f>AS_OF-F207</f>
        <v>195</v>
      </c>
      <c r="K207" s="5" t="str">
        <f>IF(OR(AND(H207&lt;&gt;"open",H207&lt;&gt;"partial"),G207&lt;=0),"n/a",IF(J207&lt;0,"current",IF(J207&lt;=30,"0-30",IF(J207&lt;=60,"31-60",IF(J207&lt;=90,"61-90","90+")))))</f>
        <v>n/a</v>
      </c>
      <c r="L207" s="12" t="s">
        <v>761</v>
      </c>
    </row>
    <row r="208" spans="1:12">
      <c r="A208" s="12" t="s">
        <v>762</v>
      </c>
      <c r="B208" s="5" t="s">
        <v>366</v>
      </c>
      <c r="C208" s="5" t="s">
        <v>329</v>
      </c>
      <c r="D208" s="12" t="s">
        <v>197</v>
      </c>
      <c r="E208" s="3">
        <v>46066</v>
      </c>
      <c r="F208" s="3">
        <v>46081</v>
      </c>
      <c r="G208" s="6">
        <v>14303.88</v>
      </c>
      <c r="H208" s="5" t="s">
        <v>68</v>
      </c>
      <c r="I208" s="3">
        <v>46089</v>
      </c>
      <c r="J208" s="8">
        <f>AS_OF-F208</f>
        <v>194</v>
      </c>
      <c r="K208" s="5" t="str">
        <f>IF(OR(AND(H208&lt;&gt;"open",H208&lt;&gt;"partial"),G208&lt;=0),"n/a",IF(J208&lt;0,"current",IF(J208&lt;=30,"0-30",IF(J208&lt;=60,"31-60",IF(J208&lt;=90,"61-90","90+")))))</f>
        <v>n/a</v>
      </c>
      <c r="L208" s="12" t="s">
        <v>763</v>
      </c>
    </row>
    <row r="209" spans="1:12">
      <c r="A209" s="12" t="s">
        <v>764</v>
      </c>
      <c r="B209" s="5" t="s">
        <v>369</v>
      </c>
      <c r="C209" s="5" t="s">
        <v>340</v>
      </c>
      <c r="D209" s="12" t="s">
        <v>162</v>
      </c>
      <c r="E209" s="3">
        <v>46052</v>
      </c>
      <c r="F209" s="3">
        <v>46082</v>
      </c>
      <c r="G209" s="6">
        <v>4310.28</v>
      </c>
      <c r="H209" s="5" t="s">
        <v>68</v>
      </c>
      <c r="I209" s="3">
        <v>46093</v>
      </c>
      <c r="J209" s="8">
        <f>AS_OF-F209</f>
        <v>193</v>
      </c>
      <c r="K209" s="5" t="str">
        <f>IF(OR(AND(H209&lt;&gt;"open",H209&lt;&gt;"partial"),G209&lt;=0),"n/a",IF(J209&lt;0,"current",IF(J209&lt;=30,"0-30",IF(J209&lt;=60,"31-60",IF(J209&lt;=90,"61-90","90+")))))</f>
        <v>n/a</v>
      </c>
      <c r="L209" s="12" t="s">
        <v>765</v>
      </c>
    </row>
    <row r="210" spans="1:12">
      <c r="A210" s="12" t="s">
        <v>766</v>
      </c>
      <c r="B210" s="5" t="s">
        <v>346</v>
      </c>
      <c r="C210" s="5" t="s">
        <v>325</v>
      </c>
      <c r="D210" s="12" t="s">
        <v>188</v>
      </c>
      <c r="E210" s="3">
        <v>46076</v>
      </c>
      <c r="F210" s="3">
        <v>46083</v>
      </c>
      <c r="G210" s="6">
        <v>16456.32</v>
      </c>
      <c r="H210" s="5" t="s">
        <v>68</v>
      </c>
      <c r="I210" s="3">
        <v>46097</v>
      </c>
      <c r="J210" s="8">
        <f>AS_OF-F210</f>
        <v>192</v>
      </c>
      <c r="K210" s="5" t="str">
        <f>IF(OR(AND(H210&lt;&gt;"open",H210&lt;&gt;"partial"),G210&lt;=0),"n/a",IF(J210&lt;0,"current",IF(J210&lt;=30,"0-30",IF(J210&lt;=60,"31-60",IF(J210&lt;=90,"61-90","90+")))))</f>
        <v>n/a</v>
      </c>
      <c r="L210" s="12" t="s">
        <v>767</v>
      </c>
    </row>
    <row r="211" spans="1:12">
      <c r="A211" s="12" t="s">
        <v>768</v>
      </c>
      <c r="B211" s="5" t="s">
        <v>366</v>
      </c>
      <c r="C211" s="5" t="s">
        <v>329</v>
      </c>
      <c r="D211" s="12" t="s">
        <v>197</v>
      </c>
      <c r="E211" s="3">
        <v>46068</v>
      </c>
      <c r="F211" s="3">
        <v>46083</v>
      </c>
      <c r="G211" s="6">
        <v>11084.4</v>
      </c>
      <c r="H211" s="5" t="s">
        <v>68</v>
      </c>
      <c r="I211" s="3">
        <v>46104</v>
      </c>
      <c r="J211" s="8">
        <f>AS_OF-F211</f>
        <v>192</v>
      </c>
      <c r="K211" s="5" t="str">
        <f>IF(OR(AND(H211&lt;&gt;"open",H211&lt;&gt;"partial"),G211&lt;=0),"n/a",IF(J211&lt;0,"current",IF(J211&lt;=30,"0-30",IF(J211&lt;=60,"31-60",IF(J211&lt;=90,"61-90","90+")))))</f>
        <v>n/a</v>
      </c>
      <c r="L211" s="12" t="s">
        <v>769</v>
      </c>
    </row>
    <row r="212" spans="1:12">
      <c r="A212" s="12" t="s">
        <v>770</v>
      </c>
      <c r="B212" s="5" t="s">
        <v>426</v>
      </c>
      <c r="C212" s="5" t="s">
        <v>375</v>
      </c>
      <c r="D212" s="12" t="s">
        <v>185</v>
      </c>
      <c r="E212" s="3">
        <v>46070</v>
      </c>
      <c r="F212" s="3">
        <v>46085</v>
      </c>
      <c r="G212" s="6">
        <v>4344.84</v>
      </c>
      <c r="H212" s="5" t="s">
        <v>68</v>
      </c>
      <c r="I212" s="3">
        <v>46092</v>
      </c>
      <c r="J212" s="8">
        <f>AS_OF-F212</f>
        <v>190</v>
      </c>
      <c r="K212" s="5" t="str">
        <f>IF(OR(AND(H212&lt;&gt;"open",H212&lt;&gt;"partial"),G212&lt;=0),"n/a",IF(J212&lt;0,"current",IF(J212&lt;=30,"0-30",IF(J212&lt;=60,"31-60",IF(J212&lt;=90,"61-90","90+")))))</f>
        <v>n/a</v>
      </c>
      <c r="L212" s="12" t="s">
        <v>771</v>
      </c>
    </row>
    <row r="213" spans="1:12">
      <c r="A213" s="12" t="s">
        <v>772</v>
      </c>
      <c r="B213" s="5" t="s">
        <v>346</v>
      </c>
      <c r="C213" s="5" t="s">
        <v>325</v>
      </c>
      <c r="D213" s="12" t="s">
        <v>217</v>
      </c>
      <c r="E213" s="3">
        <v>46081</v>
      </c>
      <c r="F213" s="3">
        <v>46088</v>
      </c>
      <c r="G213" s="6">
        <v>5116.32</v>
      </c>
      <c r="H213" s="5" t="s">
        <v>68</v>
      </c>
      <c r="I213" s="3">
        <v>46098</v>
      </c>
      <c r="J213" s="8">
        <f>AS_OF-F213</f>
        <v>187</v>
      </c>
      <c r="K213" s="5" t="str">
        <f>IF(OR(AND(H213&lt;&gt;"open",H213&lt;&gt;"partial"),G213&lt;=0),"n/a",IF(J213&lt;0,"current",IF(J213&lt;=30,"0-30",IF(J213&lt;=60,"31-60",IF(J213&lt;=90,"61-90","90+")))))</f>
        <v>n/a</v>
      </c>
      <c r="L213" s="12" t="s">
        <v>773</v>
      </c>
    </row>
    <row r="214" spans="1:12">
      <c r="A214" s="12" t="s">
        <v>774</v>
      </c>
      <c r="B214" s="5" t="s">
        <v>399</v>
      </c>
      <c r="C214" s="5" t="s">
        <v>375</v>
      </c>
      <c r="D214" s="12" t="s">
        <v>180</v>
      </c>
      <c r="E214" s="3">
        <v>46074</v>
      </c>
      <c r="F214" s="3">
        <v>46089</v>
      </c>
      <c r="G214" s="6">
        <v>6320.34</v>
      </c>
      <c r="H214" s="5" t="s">
        <v>68</v>
      </c>
      <c r="I214" s="3">
        <v>46103</v>
      </c>
      <c r="J214" s="8">
        <f>AS_OF-F214</f>
        <v>186</v>
      </c>
      <c r="K214" s="5" t="str">
        <f>IF(OR(AND(H214&lt;&gt;"open",H214&lt;&gt;"partial"),G214&lt;=0),"n/a",IF(J214&lt;0,"current",IF(J214&lt;=30,"0-30",IF(J214&lt;=60,"31-60",IF(J214&lt;=90,"61-90","90+")))))</f>
        <v>n/a</v>
      </c>
      <c r="L214" s="12" t="s">
        <v>775</v>
      </c>
    </row>
    <row r="215" spans="1:12">
      <c r="A215" s="12" t="s">
        <v>776</v>
      </c>
      <c r="B215" s="5" t="s">
        <v>443</v>
      </c>
      <c r="C215" s="5" t="s">
        <v>329</v>
      </c>
      <c r="D215" s="12" t="s">
        <v>185</v>
      </c>
      <c r="E215" s="3">
        <v>46075</v>
      </c>
      <c r="F215" s="3">
        <v>46090</v>
      </c>
      <c r="G215" s="6">
        <v>7743.6</v>
      </c>
      <c r="H215" s="5" t="s">
        <v>68</v>
      </c>
      <c r="I215" s="3">
        <v>46112</v>
      </c>
      <c r="J215" s="8">
        <f>AS_OF-F215</f>
        <v>185</v>
      </c>
      <c r="K215" s="5" t="str">
        <f>IF(OR(AND(H215&lt;&gt;"open",H215&lt;&gt;"partial"),G215&lt;=0),"n/a",IF(J215&lt;0,"current",IF(J215&lt;=30,"0-30",IF(J215&lt;=60,"31-60",IF(J215&lt;=90,"61-90","90+")))))</f>
        <v>n/a</v>
      </c>
      <c r="L215" s="12" t="s">
        <v>777</v>
      </c>
    </row>
    <row r="216" spans="1:12">
      <c r="A216" s="12" t="s">
        <v>778</v>
      </c>
      <c r="B216" s="5" t="s">
        <v>402</v>
      </c>
      <c r="C216" s="5" t="s">
        <v>329</v>
      </c>
      <c r="D216" s="12" t="s">
        <v>174</v>
      </c>
      <c r="E216" s="3">
        <v>46076</v>
      </c>
      <c r="F216" s="3">
        <v>46091</v>
      </c>
      <c r="G216" s="6">
        <v>7883.64</v>
      </c>
      <c r="H216" s="5" t="s">
        <v>68</v>
      </c>
      <c r="I216" s="3">
        <v>46110</v>
      </c>
      <c r="J216" s="8">
        <f>AS_OF-F216</f>
        <v>184</v>
      </c>
      <c r="K216" s="5" t="str">
        <f>IF(OR(AND(H216&lt;&gt;"open",H216&lt;&gt;"partial"),G216&lt;=0),"n/a",IF(J216&lt;0,"current",IF(J216&lt;=30,"0-30",IF(J216&lt;=60,"31-60",IF(J216&lt;=90,"61-90","90+")))))</f>
        <v>n/a</v>
      </c>
      <c r="L216" s="12" t="s">
        <v>779</v>
      </c>
    </row>
    <row r="217" spans="1:12">
      <c r="A217" s="12" t="s">
        <v>780</v>
      </c>
      <c r="B217" s="5" t="s">
        <v>426</v>
      </c>
      <c r="C217" s="5" t="s">
        <v>375</v>
      </c>
      <c r="D217" s="12" t="s">
        <v>197</v>
      </c>
      <c r="E217" s="3">
        <v>46076</v>
      </c>
      <c r="F217" s="3">
        <v>46091</v>
      </c>
      <c r="G217" s="6">
        <v>4015.08</v>
      </c>
      <c r="H217" s="5" t="s">
        <v>68</v>
      </c>
      <c r="I217" s="3">
        <v>46103</v>
      </c>
      <c r="J217" s="8">
        <f>AS_OF-F217</f>
        <v>184</v>
      </c>
      <c r="K217" s="5" t="str">
        <f>IF(OR(AND(H217&lt;&gt;"open",H217&lt;&gt;"partial"),G217&lt;=0),"n/a",IF(J217&lt;0,"current",IF(J217&lt;=30,"0-30",IF(J217&lt;=60,"31-60",IF(J217&lt;=90,"61-90","90+")))))</f>
        <v>n/a</v>
      </c>
      <c r="L217" s="12" t="s">
        <v>781</v>
      </c>
    </row>
    <row r="218" spans="1:12">
      <c r="A218" s="12" t="s">
        <v>782</v>
      </c>
      <c r="B218" s="5" t="s">
        <v>405</v>
      </c>
      <c r="C218" s="5" t="s">
        <v>340</v>
      </c>
      <c r="D218" s="12" t="s">
        <v>188</v>
      </c>
      <c r="E218" s="3">
        <v>46062</v>
      </c>
      <c r="F218" s="3">
        <v>46092</v>
      </c>
      <c r="G218" s="6">
        <v>6115.5</v>
      </c>
      <c r="H218" s="5" t="s">
        <v>68</v>
      </c>
      <c r="I218" s="3">
        <v>46100</v>
      </c>
      <c r="J218" s="8">
        <f>AS_OF-F218</f>
        <v>183</v>
      </c>
      <c r="K218" s="5" t="str">
        <f>IF(OR(AND(H218&lt;&gt;"open",H218&lt;&gt;"partial"),G218&lt;=0),"n/a",IF(J218&lt;0,"current",IF(J218&lt;=30,"0-30",IF(J218&lt;=60,"31-60",IF(J218&lt;=90,"61-90","90+")))))</f>
        <v>n/a</v>
      </c>
      <c r="L218" s="12" t="s">
        <v>783</v>
      </c>
    </row>
    <row r="219" spans="1:12">
      <c r="A219" s="12" t="s">
        <v>784</v>
      </c>
      <c r="B219" s="5" t="s">
        <v>543</v>
      </c>
      <c r="C219" s="5" t="s">
        <v>329</v>
      </c>
      <c r="D219" s="12" t="s">
        <v>201</v>
      </c>
      <c r="E219" s="3">
        <v>46062</v>
      </c>
      <c r="F219" s="3">
        <v>46092</v>
      </c>
      <c r="G219" s="6">
        <v>10279.08</v>
      </c>
      <c r="H219" s="5" t="s">
        <v>198</v>
      </c>
      <c r="I219" s="5" t="s">
        <v>150</v>
      </c>
      <c r="J219" s="8">
        <f>AS_OF-F219</f>
        <v>183</v>
      </c>
      <c r="K219" s="5" t="str">
        <f>IF(OR(AND(H219&lt;&gt;"open",H219&lt;&gt;"partial"),G219&lt;=0),"n/a",IF(J219&lt;0,"current",IF(J219&lt;=30,"0-30",IF(J219&lt;=60,"31-60",IF(J219&lt;=90,"61-90","90+")))))</f>
        <v>90+</v>
      </c>
      <c r="L219" s="12" t="s">
        <v>785</v>
      </c>
    </row>
    <row r="220" spans="1:12">
      <c r="A220" s="12" t="s">
        <v>786</v>
      </c>
      <c r="B220" s="5" t="s">
        <v>384</v>
      </c>
      <c r="C220" s="5" t="s">
        <v>375</v>
      </c>
      <c r="D220" s="12" t="s">
        <v>188</v>
      </c>
      <c r="E220" s="3">
        <v>46077</v>
      </c>
      <c r="F220" s="3">
        <v>46092</v>
      </c>
      <c r="G220" s="6">
        <v>3727.08</v>
      </c>
      <c r="H220" s="5" t="s">
        <v>68</v>
      </c>
      <c r="I220" s="3">
        <v>46101</v>
      </c>
      <c r="J220" s="8">
        <f>AS_OF-F220</f>
        <v>183</v>
      </c>
      <c r="K220" s="5" t="str">
        <f>IF(OR(AND(H220&lt;&gt;"open",H220&lt;&gt;"partial"),G220&lt;=0),"n/a",IF(J220&lt;0,"current",IF(J220&lt;=30,"0-30",IF(J220&lt;=60,"31-60",IF(J220&lt;=90,"61-90","90+")))))</f>
        <v>n/a</v>
      </c>
      <c r="L220" s="12" t="s">
        <v>787</v>
      </c>
    </row>
    <row r="221" spans="1:12">
      <c r="A221" s="12" t="s">
        <v>788</v>
      </c>
      <c r="B221" s="5" t="s">
        <v>396</v>
      </c>
      <c r="C221" s="5" t="s">
        <v>356</v>
      </c>
      <c r="D221" s="12" t="s">
        <v>167</v>
      </c>
      <c r="E221" s="3">
        <v>46063</v>
      </c>
      <c r="F221" s="3">
        <v>46093</v>
      </c>
      <c r="G221" s="6">
        <v>7414.56</v>
      </c>
      <c r="H221" s="5" t="s">
        <v>68</v>
      </c>
      <c r="I221" s="3">
        <v>46104</v>
      </c>
      <c r="J221" s="8">
        <f>AS_OF-F221</f>
        <v>182</v>
      </c>
      <c r="K221" s="5" t="str">
        <f>IF(OR(AND(H221&lt;&gt;"open",H221&lt;&gt;"partial"),G221&lt;=0),"n/a",IF(J221&lt;0,"current",IF(J221&lt;=30,"0-30",IF(J221&lt;=60,"31-60",IF(J221&lt;=90,"61-90","90+")))))</f>
        <v>n/a</v>
      </c>
      <c r="L221" s="12" t="s">
        <v>789</v>
      </c>
    </row>
    <row r="222" spans="1:12">
      <c r="A222" s="12" t="s">
        <v>790</v>
      </c>
      <c r="B222" s="5" t="s">
        <v>396</v>
      </c>
      <c r="C222" s="5" t="s">
        <v>356</v>
      </c>
      <c r="D222" s="12" t="s">
        <v>201</v>
      </c>
      <c r="E222" s="3">
        <v>46064</v>
      </c>
      <c r="F222" s="3">
        <v>46094</v>
      </c>
      <c r="G222" s="6">
        <v>3680.82</v>
      </c>
      <c r="H222" s="5" t="s">
        <v>68</v>
      </c>
      <c r="I222" s="3">
        <v>46103</v>
      </c>
      <c r="J222" s="8">
        <f>AS_OF-F222</f>
        <v>181</v>
      </c>
      <c r="K222" s="5" t="str">
        <f>IF(OR(AND(H222&lt;&gt;"open",H222&lt;&gt;"partial"),G222&lt;=0),"n/a",IF(J222&lt;0,"current",IF(J222&lt;=30,"0-30",IF(J222&lt;=60,"31-60",IF(J222&lt;=90,"61-90","90+")))))</f>
        <v>n/a</v>
      </c>
      <c r="L222" s="12" t="s">
        <v>791</v>
      </c>
    </row>
    <row r="223" spans="1:12">
      <c r="A223" s="12" t="s">
        <v>792</v>
      </c>
      <c r="B223" s="5" t="s">
        <v>332</v>
      </c>
      <c r="C223" s="5" t="s">
        <v>325</v>
      </c>
      <c r="D223" s="12" t="s">
        <v>174</v>
      </c>
      <c r="E223" s="3">
        <v>46080</v>
      </c>
      <c r="F223" s="3">
        <v>46095</v>
      </c>
      <c r="G223" s="6">
        <v>13119.48</v>
      </c>
      <c r="H223" s="5" t="s">
        <v>68</v>
      </c>
      <c r="I223" s="3">
        <v>46110</v>
      </c>
      <c r="J223" s="8">
        <f>AS_OF-F223</f>
        <v>180</v>
      </c>
      <c r="K223" s="5" t="str">
        <f>IF(OR(AND(H223&lt;&gt;"open",H223&lt;&gt;"partial"),G223&lt;=0),"n/a",IF(J223&lt;0,"current",IF(J223&lt;=30,"0-30",IF(J223&lt;=60,"31-60",IF(J223&lt;=90,"61-90","90+")))))</f>
        <v>n/a</v>
      </c>
      <c r="L223" s="12" t="s">
        <v>793</v>
      </c>
    </row>
    <row r="224" spans="1:12">
      <c r="A224" s="12" t="s">
        <v>794</v>
      </c>
      <c r="B224" s="5" t="s">
        <v>402</v>
      </c>
      <c r="C224" s="5" t="s">
        <v>329</v>
      </c>
      <c r="D224" s="12" t="s">
        <v>217</v>
      </c>
      <c r="E224" s="3">
        <v>46081</v>
      </c>
      <c r="F224" s="3">
        <v>46096</v>
      </c>
      <c r="G224" s="6">
        <v>7470</v>
      </c>
      <c r="H224" s="5" t="s">
        <v>68</v>
      </c>
      <c r="I224" s="3">
        <v>46102</v>
      </c>
      <c r="J224" s="8">
        <f>AS_OF-F224</f>
        <v>179</v>
      </c>
      <c r="K224" s="5" t="str">
        <f>IF(OR(AND(H224&lt;&gt;"open",H224&lt;&gt;"partial"),G224&lt;=0),"n/a",IF(J224&lt;0,"current",IF(J224&lt;=30,"0-30",IF(J224&lt;=60,"31-60",IF(J224&lt;=90,"61-90","90+")))))</f>
        <v>n/a</v>
      </c>
      <c r="L224" s="12" t="s">
        <v>795</v>
      </c>
    </row>
    <row r="225" spans="1:12">
      <c r="A225" s="12" t="s">
        <v>796</v>
      </c>
      <c r="B225" s="5" t="s">
        <v>374</v>
      </c>
      <c r="C225" s="5" t="s">
        <v>375</v>
      </c>
      <c r="D225" s="12" t="s">
        <v>201</v>
      </c>
      <c r="E225" s="3">
        <v>46066</v>
      </c>
      <c r="F225" s="3">
        <v>46096</v>
      </c>
      <c r="G225" s="6">
        <v>4642.02</v>
      </c>
      <c r="H225" s="5" t="s">
        <v>68</v>
      </c>
      <c r="I225" s="3">
        <v>46105</v>
      </c>
      <c r="J225" s="8">
        <f>AS_OF-F225</f>
        <v>179</v>
      </c>
      <c r="K225" s="5" t="str">
        <f>IF(OR(AND(H225&lt;&gt;"open",H225&lt;&gt;"partial"),G225&lt;=0),"n/a",IF(J225&lt;0,"current",IF(J225&lt;=30,"0-30",IF(J225&lt;=60,"31-60",IF(J225&lt;=90,"61-90","90+")))))</f>
        <v>n/a</v>
      </c>
      <c r="L225" s="12" t="s">
        <v>797</v>
      </c>
    </row>
    <row r="226" spans="1:12">
      <c r="A226" s="12" t="s">
        <v>798</v>
      </c>
      <c r="B226" s="5" t="s">
        <v>531</v>
      </c>
      <c r="C226" s="5" t="s">
        <v>375</v>
      </c>
      <c r="D226" s="12" t="s">
        <v>217</v>
      </c>
      <c r="E226" s="3">
        <v>46081</v>
      </c>
      <c r="F226" s="3">
        <v>46096</v>
      </c>
      <c r="G226" s="6">
        <v>4145.4</v>
      </c>
      <c r="H226" s="5" t="s">
        <v>68</v>
      </c>
      <c r="I226" s="3">
        <v>46109</v>
      </c>
      <c r="J226" s="8">
        <f>AS_OF-F226</f>
        <v>179</v>
      </c>
      <c r="K226" s="5" t="str">
        <f>IF(OR(AND(H226&lt;&gt;"open",H226&lt;&gt;"partial"),G226&lt;=0),"n/a",IF(J226&lt;0,"current",IF(J226&lt;=30,"0-30",IF(J226&lt;=60,"31-60",IF(J226&lt;=90,"61-90","90+")))))</f>
        <v>n/a</v>
      </c>
      <c r="L226" s="12" t="s">
        <v>799</v>
      </c>
    </row>
    <row r="227" spans="1:12">
      <c r="A227" s="12" t="s">
        <v>800</v>
      </c>
      <c r="B227" s="5" t="s">
        <v>410</v>
      </c>
      <c r="C227" s="5" t="s">
        <v>340</v>
      </c>
      <c r="D227" s="12" t="s">
        <v>174</v>
      </c>
      <c r="E227" s="3">
        <v>46067</v>
      </c>
      <c r="F227" s="3">
        <v>46097</v>
      </c>
      <c r="G227" s="6">
        <v>7018.2</v>
      </c>
      <c r="H227" s="5" t="s">
        <v>68</v>
      </c>
      <c r="I227" s="3">
        <v>46109</v>
      </c>
      <c r="J227" s="8">
        <f>AS_OF-F227</f>
        <v>178</v>
      </c>
      <c r="K227" s="5" t="str">
        <f>IF(OR(AND(H227&lt;&gt;"open",H227&lt;&gt;"partial"),G227&lt;=0),"n/a",IF(J227&lt;0,"current",IF(J227&lt;=30,"0-30",IF(J227&lt;=60,"31-60",IF(J227&lt;=90,"61-90","90+")))))</f>
        <v>n/a</v>
      </c>
      <c r="L227" s="12" t="s">
        <v>801</v>
      </c>
    </row>
    <row r="228" spans="1:12">
      <c r="A228" s="12" t="s">
        <v>802</v>
      </c>
      <c r="B228" s="5" t="s">
        <v>352</v>
      </c>
      <c r="C228" s="5" t="s">
        <v>325</v>
      </c>
      <c r="D228" s="12" t="s">
        <v>174</v>
      </c>
      <c r="E228" s="3">
        <v>46093</v>
      </c>
      <c r="F228" s="3">
        <v>46100</v>
      </c>
      <c r="G228" s="6">
        <v>18456.3</v>
      </c>
      <c r="H228" s="5" t="s">
        <v>68</v>
      </c>
      <c r="I228" s="3">
        <v>46122</v>
      </c>
      <c r="J228" s="8">
        <f>AS_OF-F228</f>
        <v>175</v>
      </c>
      <c r="K228" s="5" t="str">
        <f>IF(OR(AND(H228&lt;&gt;"open",H228&lt;&gt;"partial"),G228&lt;=0),"n/a",IF(J228&lt;0,"current",IF(J228&lt;=30,"0-30",IF(J228&lt;=60,"31-60",IF(J228&lt;=90,"61-90","90+")))))</f>
        <v>n/a</v>
      </c>
      <c r="L228" s="12" t="s">
        <v>803</v>
      </c>
    </row>
    <row r="229" spans="1:12">
      <c r="A229" s="12" t="s">
        <v>804</v>
      </c>
      <c r="B229" s="5" t="s">
        <v>332</v>
      </c>
      <c r="C229" s="5" t="s">
        <v>325</v>
      </c>
      <c r="D229" s="12" t="s">
        <v>180</v>
      </c>
      <c r="E229" s="3">
        <v>46085</v>
      </c>
      <c r="F229" s="3">
        <v>46100</v>
      </c>
      <c r="G229" s="6">
        <v>5615.82</v>
      </c>
      <c r="H229" s="5" t="s">
        <v>68</v>
      </c>
      <c r="I229" s="3">
        <v>46107</v>
      </c>
      <c r="J229" s="8">
        <f>AS_OF-F229</f>
        <v>175</v>
      </c>
      <c r="K229" s="5" t="str">
        <f>IF(OR(AND(H229&lt;&gt;"open",H229&lt;&gt;"partial"),G229&lt;=0),"n/a",IF(J229&lt;0,"current",IF(J229&lt;=30,"0-30",IF(J229&lt;=60,"31-60",IF(J229&lt;=90,"61-90","90+")))))</f>
        <v>n/a</v>
      </c>
      <c r="L229" s="12" t="s">
        <v>805</v>
      </c>
    </row>
    <row r="230" spans="1:12">
      <c r="A230" s="12" t="s">
        <v>806</v>
      </c>
      <c r="B230" s="5" t="s">
        <v>399</v>
      </c>
      <c r="C230" s="5" t="s">
        <v>375</v>
      </c>
      <c r="D230" s="12" t="s">
        <v>197</v>
      </c>
      <c r="E230" s="3">
        <v>46085</v>
      </c>
      <c r="F230" s="3">
        <v>46100</v>
      </c>
      <c r="G230" s="6">
        <v>3885.12</v>
      </c>
      <c r="H230" s="5" t="s">
        <v>68</v>
      </c>
      <c r="I230" s="3">
        <v>46116</v>
      </c>
      <c r="J230" s="8">
        <f>AS_OF-F230</f>
        <v>175</v>
      </c>
      <c r="K230" s="5" t="str">
        <f>IF(OR(AND(H230&lt;&gt;"open",H230&lt;&gt;"partial"),G230&lt;=0),"n/a",IF(J230&lt;0,"current",IF(J230&lt;=30,"0-30",IF(J230&lt;=60,"31-60",IF(J230&lt;=90,"61-90","90+")))))</f>
        <v>n/a</v>
      </c>
      <c r="L230" s="12" t="s">
        <v>807</v>
      </c>
    </row>
    <row r="231" spans="1:12">
      <c r="A231" s="12" t="s">
        <v>808</v>
      </c>
      <c r="B231" s="5" t="s">
        <v>324</v>
      </c>
      <c r="C231" s="5" t="s">
        <v>325</v>
      </c>
      <c r="D231" s="12" t="s">
        <v>201</v>
      </c>
      <c r="E231" s="3">
        <v>46089</v>
      </c>
      <c r="F231" s="3">
        <v>46104</v>
      </c>
      <c r="G231" s="6">
        <v>14666.94</v>
      </c>
      <c r="H231" s="5" t="s">
        <v>198</v>
      </c>
      <c r="I231" s="5" t="s">
        <v>150</v>
      </c>
      <c r="J231" s="8">
        <f>AS_OF-F231</f>
        <v>171</v>
      </c>
      <c r="K231" s="5" t="str">
        <f>IF(OR(AND(H231&lt;&gt;"open",H231&lt;&gt;"partial"),G231&lt;=0),"n/a",IF(J231&lt;0,"current",IF(J231&lt;=30,"0-30",IF(J231&lt;=60,"31-60",IF(J231&lt;=90,"61-90","90+")))))</f>
        <v>90+</v>
      </c>
      <c r="L231" s="12" t="s">
        <v>809</v>
      </c>
    </row>
    <row r="232" spans="1:12">
      <c r="A232" s="12" t="s">
        <v>810</v>
      </c>
      <c r="B232" s="5" t="s">
        <v>531</v>
      </c>
      <c r="C232" s="5" t="s">
        <v>375</v>
      </c>
      <c r="D232" s="12" t="s">
        <v>180</v>
      </c>
      <c r="E232" s="3">
        <v>46090</v>
      </c>
      <c r="F232" s="3">
        <v>46105</v>
      </c>
      <c r="G232" s="6">
        <v>3909.6</v>
      </c>
      <c r="H232" s="5" t="s">
        <v>68</v>
      </c>
      <c r="I232" s="3">
        <v>46115</v>
      </c>
      <c r="J232" s="8">
        <f>AS_OF-F232</f>
        <v>170</v>
      </c>
      <c r="K232" s="5" t="str">
        <f>IF(OR(AND(H232&lt;&gt;"open",H232&lt;&gt;"partial"),G232&lt;=0),"n/a",IF(J232&lt;0,"current",IF(J232&lt;=30,"0-30",IF(J232&lt;=60,"31-60",IF(J232&lt;=90,"61-90","90+")))))</f>
        <v>n/a</v>
      </c>
      <c r="L232" s="12" t="s">
        <v>811</v>
      </c>
    </row>
    <row r="233" spans="1:12">
      <c r="A233" s="12" t="s">
        <v>812</v>
      </c>
      <c r="B233" s="5" t="s">
        <v>332</v>
      </c>
      <c r="C233" s="5" t="s">
        <v>325</v>
      </c>
      <c r="D233" s="12" t="s">
        <v>212</v>
      </c>
      <c r="E233" s="3">
        <v>46090</v>
      </c>
      <c r="F233" s="3">
        <v>46105</v>
      </c>
      <c r="G233" s="6">
        <v>13806.9</v>
      </c>
      <c r="H233" s="5" t="s">
        <v>68</v>
      </c>
      <c r="I233" s="3">
        <v>46116</v>
      </c>
      <c r="J233" s="8">
        <f>AS_OF-F233</f>
        <v>170</v>
      </c>
      <c r="K233" s="5" t="str">
        <f>IF(OR(AND(H233&lt;&gt;"open",H233&lt;&gt;"partial"),G233&lt;=0),"n/a",IF(J233&lt;0,"current",IF(J233&lt;=30,"0-30",IF(J233&lt;=60,"31-60",IF(J233&lt;=90,"61-90","90+")))))</f>
        <v>n/a</v>
      </c>
      <c r="L233" s="12" t="s">
        <v>813</v>
      </c>
    </row>
    <row r="234" spans="1:12">
      <c r="A234" s="12" t="s">
        <v>814</v>
      </c>
      <c r="B234" s="5" t="s">
        <v>352</v>
      </c>
      <c r="C234" s="5" t="s">
        <v>325</v>
      </c>
      <c r="D234" s="12" t="s">
        <v>188</v>
      </c>
      <c r="E234" s="3">
        <v>46098</v>
      </c>
      <c r="F234" s="3">
        <v>46105</v>
      </c>
      <c r="G234" s="6">
        <v>12912.48</v>
      </c>
      <c r="H234" s="5" t="s">
        <v>68</v>
      </c>
      <c r="I234" s="3">
        <v>46127</v>
      </c>
      <c r="J234" s="8">
        <f>AS_OF-F234</f>
        <v>170</v>
      </c>
      <c r="K234" s="5" t="str">
        <f>IF(OR(AND(H234&lt;&gt;"open",H234&lt;&gt;"partial"),G234&lt;=0),"n/a",IF(J234&lt;0,"current",IF(J234&lt;=30,"0-30",IF(J234&lt;=60,"31-60",IF(J234&lt;=90,"61-90","90+")))))</f>
        <v>n/a</v>
      </c>
      <c r="L234" s="12" t="s">
        <v>815</v>
      </c>
    </row>
    <row r="235" spans="1:12">
      <c r="A235" s="12" t="s">
        <v>816</v>
      </c>
      <c r="B235" s="5" t="s">
        <v>531</v>
      </c>
      <c r="C235" s="5" t="s">
        <v>375</v>
      </c>
      <c r="D235" s="12" t="s">
        <v>174</v>
      </c>
      <c r="E235" s="3">
        <v>46091</v>
      </c>
      <c r="F235" s="3">
        <v>46106</v>
      </c>
      <c r="G235" s="6">
        <v>5112.9</v>
      </c>
      <c r="H235" s="5" t="s">
        <v>68</v>
      </c>
      <c r="I235" s="3">
        <v>46118</v>
      </c>
      <c r="J235" s="8">
        <f>AS_OF-F235</f>
        <v>169</v>
      </c>
      <c r="K235" s="5" t="str">
        <f>IF(OR(AND(H235&lt;&gt;"open",H235&lt;&gt;"partial"),G235&lt;=0),"n/a",IF(J235&lt;0,"current",IF(J235&lt;=30,"0-30",IF(J235&lt;=60,"31-60",IF(J235&lt;=90,"61-90","90+")))))</f>
        <v>n/a</v>
      </c>
      <c r="L235" s="12" t="s">
        <v>817</v>
      </c>
    </row>
    <row r="236" spans="1:12">
      <c r="A236" s="12" t="s">
        <v>818</v>
      </c>
      <c r="B236" s="5" t="s">
        <v>426</v>
      </c>
      <c r="C236" s="5" t="s">
        <v>375</v>
      </c>
      <c r="D236" s="12" t="s">
        <v>201</v>
      </c>
      <c r="E236" s="3">
        <v>46093</v>
      </c>
      <c r="F236" s="3">
        <v>46108</v>
      </c>
      <c r="G236" s="6">
        <v>3943.08</v>
      </c>
      <c r="H236" s="5" t="s">
        <v>68</v>
      </c>
      <c r="I236" s="3">
        <v>46142</v>
      </c>
      <c r="J236" s="8">
        <f>AS_OF-F236</f>
        <v>167</v>
      </c>
      <c r="K236" s="5" t="str">
        <f>IF(OR(AND(H236&lt;&gt;"open",H236&lt;&gt;"partial"),G236&lt;=0),"n/a",IF(J236&lt;0,"current",IF(J236&lt;=30,"0-30",IF(J236&lt;=60,"31-60",IF(J236&lt;=90,"61-90","90+")))))</f>
        <v>n/a</v>
      </c>
      <c r="L236" s="12" t="s">
        <v>819</v>
      </c>
    </row>
    <row r="237" spans="1:12">
      <c r="A237" s="12" t="s">
        <v>820</v>
      </c>
      <c r="B237" s="5" t="s">
        <v>396</v>
      </c>
      <c r="C237" s="5" t="s">
        <v>356</v>
      </c>
      <c r="D237" s="12" t="s">
        <v>188</v>
      </c>
      <c r="E237" s="3">
        <v>46079</v>
      </c>
      <c r="F237" s="3">
        <v>46109</v>
      </c>
      <c r="G237" s="6">
        <v>3667.32</v>
      </c>
      <c r="H237" s="5" t="s">
        <v>68</v>
      </c>
      <c r="I237" s="3">
        <v>46116</v>
      </c>
      <c r="J237" s="8">
        <f>AS_OF-F237</f>
        <v>166</v>
      </c>
      <c r="K237" s="5" t="str">
        <f>IF(OR(AND(H237&lt;&gt;"open",H237&lt;&gt;"partial"),G237&lt;=0),"n/a",IF(J237&lt;0,"current",IF(J237&lt;=30,"0-30",IF(J237&lt;=60,"31-60",IF(J237&lt;=90,"61-90","90+")))))</f>
        <v>n/a</v>
      </c>
      <c r="L237" s="12" t="s">
        <v>821</v>
      </c>
    </row>
    <row r="238" spans="1:12">
      <c r="A238" s="12" t="s">
        <v>822</v>
      </c>
      <c r="B238" s="5" t="s">
        <v>346</v>
      </c>
      <c r="C238" s="5" t="s">
        <v>325</v>
      </c>
      <c r="D238" s="12" t="s">
        <v>212</v>
      </c>
      <c r="E238" s="3">
        <v>46103</v>
      </c>
      <c r="F238" s="3">
        <v>46110</v>
      </c>
      <c r="G238" s="6">
        <v>13838.94</v>
      </c>
      <c r="H238" s="5" t="s">
        <v>68</v>
      </c>
      <c r="I238" s="3">
        <v>46131</v>
      </c>
      <c r="J238" s="8">
        <f>AS_OF-F238</f>
        <v>165</v>
      </c>
      <c r="K238" s="5" t="str">
        <f>IF(OR(AND(H238&lt;&gt;"open",H238&lt;&gt;"partial"),G238&lt;=0),"n/a",IF(J238&lt;0,"current",IF(J238&lt;=30,"0-30",IF(J238&lt;=60,"31-60",IF(J238&lt;=90,"61-90","90+")))))</f>
        <v>n/a</v>
      </c>
      <c r="L238" s="12" t="s">
        <v>823</v>
      </c>
    </row>
    <row r="239" spans="1:12">
      <c r="A239" s="12" t="s">
        <v>824</v>
      </c>
      <c r="B239" s="5" t="s">
        <v>543</v>
      </c>
      <c r="C239" s="5" t="s">
        <v>329</v>
      </c>
      <c r="D239" s="12" t="s">
        <v>217</v>
      </c>
      <c r="E239" s="3">
        <v>46080</v>
      </c>
      <c r="F239" s="3">
        <v>46110</v>
      </c>
      <c r="G239" s="6">
        <v>5637.6</v>
      </c>
      <c r="H239" s="5" t="s">
        <v>68</v>
      </c>
      <c r="I239" s="3">
        <v>46121</v>
      </c>
      <c r="J239" s="8">
        <f>AS_OF-F239</f>
        <v>165</v>
      </c>
      <c r="K239" s="5" t="str">
        <f>IF(OR(AND(H239&lt;&gt;"open",H239&lt;&gt;"partial"),G239&lt;=0),"n/a",IF(J239&lt;0,"current",IF(J239&lt;=30,"0-30",IF(J239&lt;=60,"31-60",IF(J239&lt;=90,"61-90","90+")))))</f>
        <v>n/a</v>
      </c>
      <c r="L239" s="12" t="s">
        <v>825</v>
      </c>
    </row>
    <row r="240" spans="1:12">
      <c r="A240" s="12" t="s">
        <v>826</v>
      </c>
      <c r="B240" s="5" t="s">
        <v>352</v>
      </c>
      <c r="C240" s="5" t="s">
        <v>325</v>
      </c>
      <c r="D240" s="12" t="s">
        <v>197</v>
      </c>
      <c r="E240" s="3">
        <v>46108</v>
      </c>
      <c r="F240" s="3">
        <v>46115</v>
      </c>
      <c r="G240" s="6">
        <v>4403.7</v>
      </c>
      <c r="H240" s="5" t="s">
        <v>68</v>
      </c>
      <c r="I240" s="3">
        <v>46130</v>
      </c>
      <c r="J240" s="8">
        <f>AS_OF-F240</f>
        <v>160</v>
      </c>
      <c r="K240" s="5" t="str">
        <f>IF(OR(AND(H240&lt;&gt;"open",H240&lt;&gt;"partial"),G240&lt;=0),"n/a",IF(J240&lt;0,"current",IF(J240&lt;=30,"0-30",IF(J240&lt;=60,"31-60",IF(J240&lt;=90,"61-90","90+")))))</f>
        <v>n/a</v>
      </c>
      <c r="L240" s="12" t="s">
        <v>827</v>
      </c>
    </row>
    <row r="241" spans="1:12">
      <c r="A241" s="12" t="s">
        <v>828</v>
      </c>
      <c r="B241" s="5" t="s">
        <v>443</v>
      </c>
      <c r="C241" s="5" t="s">
        <v>329</v>
      </c>
      <c r="D241" s="12" t="s">
        <v>180</v>
      </c>
      <c r="E241" s="3">
        <v>46100</v>
      </c>
      <c r="F241" s="3">
        <v>46115</v>
      </c>
      <c r="G241" s="6">
        <v>16553.16</v>
      </c>
      <c r="H241" s="5" t="s">
        <v>68</v>
      </c>
      <c r="I241" s="3">
        <v>46122</v>
      </c>
      <c r="J241" s="8">
        <f>AS_OF-F241</f>
        <v>160</v>
      </c>
      <c r="K241" s="5" t="str">
        <f>IF(OR(AND(H241&lt;&gt;"open",H241&lt;&gt;"partial"),G241&lt;=0),"n/a",IF(J241&lt;0,"current",IF(J241&lt;=30,"0-30",IF(J241&lt;=60,"31-60",IF(J241&lt;=90,"61-90","90+")))))</f>
        <v>n/a</v>
      </c>
      <c r="L241" s="12" t="s">
        <v>829</v>
      </c>
    </row>
    <row r="242" spans="1:12">
      <c r="A242" s="12" t="s">
        <v>830</v>
      </c>
      <c r="B242" s="5" t="s">
        <v>363</v>
      </c>
      <c r="C242" s="5" t="s">
        <v>329</v>
      </c>
      <c r="D242" s="12" t="s">
        <v>180</v>
      </c>
      <c r="E242" s="3">
        <v>46085</v>
      </c>
      <c r="F242" s="3">
        <v>46115</v>
      </c>
      <c r="G242" s="6">
        <v>14247.36</v>
      </c>
      <c r="H242" s="5" t="s">
        <v>68</v>
      </c>
      <c r="I242" s="3">
        <v>46123</v>
      </c>
      <c r="J242" s="8">
        <f>AS_OF-F242</f>
        <v>160</v>
      </c>
      <c r="K242" s="5" t="str">
        <f>IF(OR(AND(H242&lt;&gt;"open",H242&lt;&gt;"partial"),G242&lt;=0),"n/a",IF(J242&lt;0,"current",IF(J242&lt;=30,"0-30",IF(J242&lt;=60,"31-60",IF(J242&lt;=90,"61-90","90+")))))</f>
        <v>n/a</v>
      </c>
      <c r="L242" s="12" t="s">
        <v>831</v>
      </c>
    </row>
    <row r="243" spans="1:12">
      <c r="A243" s="12" t="s">
        <v>832</v>
      </c>
      <c r="B243" s="5" t="s">
        <v>650</v>
      </c>
      <c r="C243" s="5" t="s">
        <v>340</v>
      </c>
      <c r="D243" s="12" t="s">
        <v>180</v>
      </c>
      <c r="E243" s="3">
        <v>46071</v>
      </c>
      <c r="F243" s="3">
        <v>46116</v>
      </c>
      <c r="G243" s="6">
        <v>5582.52</v>
      </c>
      <c r="H243" s="5" t="s">
        <v>68</v>
      </c>
      <c r="I243" s="3">
        <v>46134</v>
      </c>
      <c r="J243" s="8">
        <f>AS_OF-F243</f>
        <v>159</v>
      </c>
      <c r="K243" s="5" t="str">
        <f>IF(OR(AND(H243&lt;&gt;"open",H243&lt;&gt;"partial"),G243&lt;=0),"n/a",IF(J243&lt;0,"current",IF(J243&lt;=30,"0-30",IF(J243&lt;=60,"31-60",IF(J243&lt;=90,"61-90","90+")))))</f>
        <v>n/a</v>
      </c>
      <c r="L243" s="12" t="s">
        <v>833</v>
      </c>
    </row>
    <row r="244" spans="1:12">
      <c r="A244" s="12" t="s">
        <v>834</v>
      </c>
      <c r="B244" s="5" t="s">
        <v>446</v>
      </c>
      <c r="C244" s="5" t="s">
        <v>356</v>
      </c>
      <c r="D244" s="12" t="s">
        <v>174</v>
      </c>
      <c r="E244" s="3">
        <v>46087</v>
      </c>
      <c r="F244" s="3">
        <v>46117</v>
      </c>
      <c r="G244" s="6">
        <v>3798</v>
      </c>
      <c r="H244" s="5" t="s">
        <v>68</v>
      </c>
      <c r="I244" s="3">
        <v>46126</v>
      </c>
      <c r="J244" s="8">
        <f>AS_OF-F244</f>
        <v>158</v>
      </c>
      <c r="K244" s="5" t="str">
        <f>IF(OR(AND(H244&lt;&gt;"open",H244&lt;&gt;"partial"),G244&lt;=0),"n/a",IF(J244&lt;0,"current",IF(J244&lt;=30,"0-30",IF(J244&lt;=60,"31-60",IF(J244&lt;=90,"61-90","90+")))))</f>
        <v>n/a</v>
      </c>
      <c r="L244" s="12" t="s">
        <v>835</v>
      </c>
    </row>
    <row r="245" spans="1:12">
      <c r="A245" s="12" t="s">
        <v>836</v>
      </c>
      <c r="B245" s="5" t="s">
        <v>402</v>
      </c>
      <c r="C245" s="5" t="s">
        <v>329</v>
      </c>
      <c r="D245" s="12" t="s">
        <v>212</v>
      </c>
      <c r="E245" s="3">
        <v>46103</v>
      </c>
      <c r="F245" s="3">
        <v>46118</v>
      </c>
      <c r="G245" s="6">
        <v>17559</v>
      </c>
      <c r="H245" s="5" t="s">
        <v>68</v>
      </c>
      <c r="I245" s="3">
        <v>46135</v>
      </c>
      <c r="J245" s="8">
        <f>AS_OF-F245</f>
        <v>157</v>
      </c>
      <c r="K245" s="5" t="str">
        <f>IF(OR(AND(H245&lt;&gt;"open",H245&lt;&gt;"partial"),G245&lt;=0),"n/a",IF(J245&lt;0,"current",IF(J245&lt;=30,"0-30",IF(J245&lt;=60,"31-60",IF(J245&lt;=90,"61-90","90+")))))</f>
        <v>n/a</v>
      </c>
      <c r="L245" s="12" t="s">
        <v>837</v>
      </c>
    </row>
    <row r="246" spans="1:12">
      <c r="A246" s="12" t="s">
        <v>838</v>
      </c>
      <c r="B246" s="5" t="s">
        <v>369</v>
      </c>
      <c r="C246" s="5" t="s">
        <v>340</v>
      </c>
      <c r="D246" s="12" t="s">
        <v>197</v>
      </c>
      <c r="E246" s="3">
        <v>46088</v>
      </c>
      <c r="F246" s="3">
        <v>46118</v>
      </c>
      <c r="G246" s="6">
        <v>7938.72</v>
      </c>
      <c r="H246" s="5" t="s">
        <v>68</v>
      </c>
      <c r="I246" s="3">
        <v>46128</v>
      </c>
      <c r="J246" s="8">
        <f>AS_OF-F246</f>
        <v>157</v>
      </c>
      <c r="K246" s="5" t="str">
        <f>IF(OR(AND(H246&lt;&gt;"open",H246&lt;&gt;"partial"),G246&lt;=0),"n/a",IF(J246&lt;0,"current",IF(J246&lt;=30,"0-30",IF(J246&lt;=60,"31-60",IF(J246&lt;=90,"61-90","90+")))))</f>
        <v>n/a</v>
      </c>
      <c r="L246" s="12" t="s">
        <v>839</v>
      </c>
    </row>
    <row r="247" spans="1:12">
      <c r="A247" s="12" t="s">
        <v>840</v>
      </c>
      <c r="B247" s="5" t="s">
        <v>543</v>
      </c>
      <c r="C247" s="5" t="s">
        <v>329</v>
      </c>
      <c r="D247" s="12" t="s">
        <v>201</v>
      </c>
      <c r="E247" s="3">
        <v>46089</v>
      </c>
      <c r="F247" s="3">
        <v>46119</v>
      </c>
      <c r="G247" s="6">
        <v>7958.52</v>
      </c>
      <c r="H247" s="5" t="s">
        <v>68</v>
      </c>
      <c r="I247" s="3">
        <v>46140</v>
      </c>
      <c r="J247" s="8">
        <f>AS_OF-F247</f>
        <v>156</v>
      </c>
      <c r="K247" s="5" t="str">
        <f>IF(OR(AND(H247&lt;&gt;"open",H247&lt;&gt;"partial"),G247&lt;=0),"n/a",IF(J247&lt;0,"current",IF(J247&lt;=30,"0-30",IF(J247&lt;=60,"31-60",IF(J247&lt;=90,"61-90","90+")))))</f>
        <v>n/a</v>
      </c>
      <c r="L247" s="12" t="s">
        <v>841</v>
      </c>
    </row>
    <row r="248" spans="1:12">
      <c r="A248" s="12" t="s">
        <v>842</v>
      </c>
      <c r="B248" s="5" t="s">
        <v>650</v>
      </c>
      <c r="C248" s="5" t="s">
        <v>340</v>
      </c>
      <c r="D248" s="12" t="s">
        <v>188</v>
      </c>
      <c r="E248" s="3">
        <v>46075</v>
      </c>
      <c r="F248" s="3">
        <v>46120</v>
      </c>
      <c r="G248" s="6">
        <v>9687.24</v>
      </c>
      <c r="H248" s="5" t="s">
        <v>68</v>
      </c>
      <c r="I248" s="3">
        <v>46130</v>
      </c>
      <c r="J248" s="8">
        <f>AS_OF-F248</f>
        <v>155</v>
      </c>
      <c r="K248" s="5" t="str">
        <f>IF(OR(AND(H248&lt;&gt;"open",H248&lt;&gt;"partial"),G248&lt;=0),"n/a",IF(J248&lt;0,"current",IF(J248&lt;=30,"0-30",IF(J248&lt;=60,"31-60",IF(J248&lt;=90,"61-90","90+")))))</f>
        <v>n/a</v>
      </c>
      <c r="L248" s="12" t="s">
        <v>843</v>
      </c>
    </row>
    <row r="249" spans="1:12">
      <c r="A249" s="12" t="s">
        <v>844</v>
      </c>
      <c r="B249" s="5" t="s">
        <v>369</v>
      </c>
      <c r="C249" s="5" t="s">
        <v>340</v>
      </c>
      <c r="D249" s="12" t="s">
        <v>197</v>
      </c>
      <c r="E249" s="3">
        <v>46090</v>
      </c>
      <c r="F249" s="3">
        <v>46120</v>
      </c>
      <c r="G249" s="6">
        <v>8652.6</v>
      </c>
      <c r="H249" s="5" t="s">
        <v>68</v>
      </c>
      <c r="I249" s="3">
        <v>46130</v>
      </c>
      <c r="J249" s="8">
        <f>AS_OF-F249</f>
        <v>155</v>
      </c>
      <c r="K249" s="5" t="str">
        <f>IF(OR(AND(H249&lt;&gt;"open",H249&lt;&gt;"partial"),G249&lt;=0),"n/a",IF(J249&lt;0,"current",IF(J249&lt;=30,"0-30",IF(J249&lt;=60,"31-60",IF(J249&lt;=90,"61-90","90+")))))</f>
        <v>n/a</v>
      </c>
      <c r="L249" s="12" t="s">
        <v>845</v>
      </c>
    </row>
    <row r="250" spans="1:12">
      <c r="A250" s="12" t="s">
        <v>846</v>
      </c>
      <c r="B250" s="5" t="s">
        <v>332</v>
      </c>
      <c r="C250" s="5" t="s">
        <v>325</v>
      </c>
      <c r="D250" s="12" t="s">
        <v>180</v>
      </c>
      <c r="E250" s="3">
        <v>46105</v>
      </c>
      <c r="F250" s="3">
        <v>46120</v>
      </c>
      <c r="G250" s="6">
        <v>14616.36</v>
      </c>
      <c r="H250" s="5" t="s">
        <v>68</v>
      </c>
      <c r="I250" s="3">
        <v>46154</v>
      </c>
      <c r="J250" s="8">
        <f>AS_OF-F250</f>
        <v>155</v>
      </c>
      <c r="K250" s="5" t="str">
        <f>IF(OR(AND(H250&lt;&gt;"open",H250&lt;&gt;"partial"),G250&lt;=0),"n/a",IF(J250&lt;0,"current",IF(J250&lt;=30,"0-30",IF(J250&lt;=60,"31-60",IF(J250&lt;=90,"61-90","90+")))))</f>
        <v>n/a</v>
      </c>
      <c r="L250" s="12" t="s">
        <v>847</v>
      </c>
    </row>
    <row r="251" spans="1:12">
      <c r="A251" s="12" t="s">
        <v>848</v>
      </c>
      <c r="B251" s="5" t="s">
        <v>531</v>
      </c>
      <c r="C251" s="5" t="s">
        <v>375</v>
      </c>
      <c r="D251" s="12" t="s">
        <v>212</v>
      </c>
      <c r="E251" s="3">
        <v>46108</v>
      </c>
      <c r="F251" s="3">
        <v>46123</v>
      </c>
      <c r="G251" s="6">
        <v>4013.28</v>
      </c>
      <c r="H251" s="5" t="s">
        <v>68</v>
      </c>
      <c r="I251" s="3">
        <v>46129</v>
      </c>
      <c r="J251" s="8">
        <f>AS_OF-F251</f>
        <v>152</v>
      </c>
      <c r="K251" s="5" t="str">
        <f>IF(OR(AND(H251&lt;&gt;"open",H251&lt;&gt;"partial"),G251&lt;=0),"n/a",IF(J251&lt;0,"current",IF(J251&lt;=30,"0-30",IF(J251&lt;=60,"31-60",IF(J251&lt;=90,"61-90","90+")))))</f>
        <v>n/a</v>
      </c>
      <c r="L251" s="12" t="s">
        <v>849</v>
      </c>
    </row>
    <row r="252" spans="1:12">
      <c r="A252" s="12" t="s">
        <v>850</v>
      </c>
      <c r="B252" s="5" t="s">
        <v>346</v>
      </c>
      <c r="C252" s="5" t="s">
        <v>325</v>
      </c>
      <c r="D252" s="12" t="s">
        <v>197</v>
      </c>
      <c r="E252" s="3">
        <v>46116</v>
      </c>
      <c r="F252" s="3">
        <v>46123</v>
      </c>
      <c r="G252" s="6">
        <v>15211.08</v>
      </c>
      <c r="H252" s="5" t="s">
        <v>68</v>
      </c>
      <c r="I252" s="3">
        <v>46135</v>
      </c>
      <c r="J252" s="8">
        <f>AS_OF-F252</f>
        <v>152</v>
      </c>
      <c r="K252" s="5" t="str">
        <f>IF(OR(AND(H252&lt;&gt;"open",H252&lt;&gt;"partial"),G252&lt;=0),"n/a",IF(J252&lt;0,"current",IF(J252&lt;=30,"0-30",IF(J252&lt;=60,"31-60",IF(J252&lt;=90,"61-90","90+")))))</f>
        <v>n/a</v>
      </c>
      <c r="L252" s="12" t="s">
        <v>851</v>
      </c>
    </row>
    <row r="253" spans="1:12">
      <c r="A253" s="12" t="s">
        <v>852</v>
      </c>
      <c r="B253" s="5" t="s">
        <v>339</v>
      </c>
      <c r="C253" s="5" t="s">
        <v>340</v>
      </c>
      <c r="D253" s="12" t="s">
        <v>212</v>
      </c>
      <c r="E253" s="3">
        <v>46094</v>
      </c>
      <c r="F253" s="3">
        <v>46124</v>
      </c>
      <c r="G253" s="6">
        <v>9992.879999999999</v>
      </c>
      <c r="H253" s="5" t="s">
        <v>68</v>
      </c>
      <c r="I253" s="3">
        <v>46140</v>
      </c>
      <c r="J253" s="8">
        <f>AS_OF-F253</f>
        <v>151</v>
      </c>
      <c r="K253" s="5" t="str">
        <f>IF(OR(AND(H253&lt;&gt;"open",H253&lt;&gt;"partial"),G253&lt;=0),"n/a",IF(J253&lt;0,"current",IF(J253&lt;=30,"0-30",IF(J253&lt;=60,"31-60",IF(J253&lt;=90,"61-90","90+")))))</f>
        <v>n/a</v>
      </c>
      <c r="L253" s="12" t="s">
        <v>853</v>
      </c>
    </row>
    <row r="254" spans="1:12">
      <c r="A254" s="12" t="s">
        <v>854</v>
      </c>
      <c r="B254" s="5" t="s">
        <v>343</v>
      </c>
      <c r="C254" s="5" t="s">
        <v>329</v>
      </c>
      <c r="D254" s="12" t="s">
        <v>188</v>
      </c>
      <c r="E254" s="3">
        <v>46095</v>
      </c>
      <c r="F254" s="3">
        <v>46125</v>
      </c>
      <c r="G254" s="6">
        <v>13294.26</v>
      </c>
      <c r="H254" s="5" t="s">
        <v>68</v>
      </c>
      <c r="I254" s="3">
        <v>46139</v>
      </c>
      <c r="J254" s="8">
        <f>AS_OF-F254</f>
        <v>150</v>
      </c>
      <c r="K254" s="5" t="str">
        <f>IF(OR(AND(H254&lt;&gt;"open",H254&lt;&gt;"partial"),G254&lt;=0),"n/a",IF(J254&lt;0,"current",IF(J254&lt;=30,"0-30",IF(J254&lt;=60,"31-60",IF(J254&lt;=90,"61-90","90+")))))</f>
        <v>n/a</v>
      </c>
      <c r="L254" s="12" t="s">
        <v>855</v>
      </c>
    </row>
    <row r="255" spans="1:12">
      <c r="A255" s="12" t="s">
        <v>856</v>
      </c>
      <c r="B255" s="5" t="s">
        <v>324</v>
      </c>
      <c r="C255" s="5" t="s">
        <v>325</v>
      </c>
      <c r="D255" s="12" t="s">
        <v>227</v>
      </c>
      <c r="E255" s="3">
        <v>46111</v>
      </c>
      <c r="F255" s="3">
        <v>46126</v>
      </c>
      <c r="G255" s="6">
        <v>17759.52</v>
      </c>
      <c r="H255" s="5" t="s">
        <v>68</v>
      </c>
      <c r="I255" s="3">
        <v>46139</v>
      </c>
      <c r="J255" s="8">
        <f>AS_OF-F255</f>
        <v>149</v>
      </c>
      <c r="K255" s="5" t="str">
        <f>IF(OR(AND(H255&lt;&gt;"open",H255&lt;&gt;"partial"),G255&lt;=0),"n/a",IF(J255&lt;0,"current",IF(J255&lt;=30,"0-30",IF(J255&lt;=60,"31-60",IF(J255&lt;=90,"61-90","90+")))))</f>
        <v>n/a</v>
      </c>
      <c r="L255" s="12" t="s">
        <v>857</v>
      </c>
    </row>
    <row r="256" spans="1:12">
      <c r="A256" s="12" t="s">
        <v>858</v>
      </c>
      <c r="B256" s="5" t="s">
        <v>352</v>
      </c>
      <c r="C256" s="5" t="s">
        <v>325</v>
      </c>
      <c r="D256" s="12" t="s">
        <v>217</v>
      </c>
      <c r="E256" s="3">
        <v>46120</v>
      </c>
      <c r="F256" s="3">
        <v>46127</v>
      </c>
      <c r="G256" s="6">
        <v>15398.64</v>
      </c>
      <c r="H256" s="5" t="s">
        <v>68</v>
      </c>
      <c r="I256" s="3">
        <v>46136</v>
      </c>
      <c r="J256" s="8">
        <f>AS_OF-F256</f>
        <v>148</v>
      </c>
      <c r="K256" s="5" t="str">
        <f>IF(OR(AND(H256&lt;&gt;"open",H256&lt;&gt;"partial"),G256&lt;=0),"n/a",IF(J256&lt;0,"current",IF(J256&lt;=30,"0-30",IF(J256&lt;=60,"31-60",IF(J256&lt;=90,"61-90","90+")))))</f>
        <v>n/a</v>
      </c>
      <c r="L256" s="12" t="s">
        <v>859</v>
      </c>
    </row>
    <row r="257" spans="1:12">
      <c r="A257" s="12" t="s">
        <v>860</v>
      </c>
      <c r="B257" s="5" t="s">
        <v>650</v>
      </c>
      <c r="C257" s="5" t="s">
        <v>340</v>
      </c>
      <c r="D257" s="12" t="s">
        <v>217</v>
      </c>
      <c r="E257" s="3">
        <v>46084</v>
      </c>
      <c r="F257" s="3">
        <v>46129</v>
      </c>
      <c r="G257" s="6">
        <v>10772.28</v>
      </c>
      <c r="H257" s="5" t="s">
        <v>68</v>
      </c>
      <c r="I257" s="3">
        <v>46144</v>
      </c>
      <c r="J257" s="8">
        <f>AS_OF-F257</f>
        <v>146</v>
      </c>
      <c r="K257" s="5" t="str">
        <f>IF(OR(AND(H257&lt;&gt;"open",H257&lt;&gt;"partial"),G257&lt;=0),"n/a",IF(J257&lt;0,"current",IF(J257&lt;=30,"0-30",IF(J257&lt;=60,"31-60",IF(J257&lt;=90,"61-90","90+")))))</f>
        <v>n/a</v>
      </c>
      <c r="L257" s="12" t="s">
        <v>861</v>
      </c>
    </row>
    <row r="258" spans="1:12">
      <c r="A258" s="12" t="s">
        <v>862</v>
      </c>
      <c r="B258" s="5" t="s">
        <v>363</v>
      </c>
      <c r="C258" s="5" t="s">
        <v>329</v>
      </c>
      <c r="D258" s="12" t="s">
        <v>220</v>
      </c>
      <c r="E258" s="3">
        <v>46100</v>
      </c>
      <c r="F258" s="3">
        <v>46130</v>
      </c>
      <c r="G258" s="6">
        <v>15660</v>
      </c>
      <c r="H258" s="5" t="s">
        <v>68</v>
      </c>
      <c r="I258" s="3">
        <v>46143</v>
      </c>
      <c r="J258" s="8">
        <f>AS_OF-F258</f>
        <v>145</v>
      </c>
      <c r="K258" s="5" t="str">
        <f>IF(OR(AND(H258&lt;&gt;"open",H258&lt;&gt;"partial"),G258&lt;=0),"n/a",IF(J258&lt;0,"current",IF(J258&lt;=30,"0-30",IF(J258&lt;=60,"31-60",IF(J258&lt;=90,"61-90","90+")))))</f>
        <v>n/a</v>
      </c>
      <c r="L258" s="12" t="s">
        <v>863</v>
      </c>
    </row>
    <row r="259" spans="1:12">
      <c r="A259" s="12" t="s">
        <v>864</v>
      </c>
      <c r="B259" s="5" t="s">
        <v>355</v>
      </c>
      <c r="C259" s="5" t="s">
        <v>356</v>
      </c>
      <c r="D259" s="12" t="s">
        <v>201</v>
      </c>
      <c r="E259" s="3">
        <v>46116</v>
      </c>
      <c r="F259" s="3">
        <v>46131</v>
      </c>
      <c r="G259" s="6">
        <v>4536</v>
      </c>
      <c r="H259" s="5" t="s">
        <v>68</v>
      </c>
      <c r="I259" s="3">
        <v>46156</v>
      </c>
      <c r="J259" s="8">
        <f>AS_OF-F259</f>
        <v>144</v>
      </c>
      <c r="K259" s="5" t="str">
        <f>IF(OR(AND(H259&lt;&gt;"open",H259&lt;&gt;"partial"),G259&lt;=0),"n/a",IF(J259&lt;0,"current",IF(J259&lt;=30,"0-30",IF(J259&lt;=60,"31-60",IF(J259&lt;=90,"61-90","90+")))))</f>
        <v>n/a</v>
      </c>
      <c r="L259" s="12" t="s">
        <v>865</v>
      </c>
    </row>
    <row r="260" spans="1:12">
      <c r="A260" s="12" t="s">
        <v>866</v>
      </c>
      <c r="B260" s="5" t="s">
        <v>534</v>
      </c>
      <c r="C260" s="5" t="s">
        <v>356</v>
      </c>
      <c r="D260" s="12" t="s">
        <v>217</v>
      </c>
      <c r="E260" s="3">
        <v>46101</v>
      </c>
      <c r="F260" s="3">
        <v>46131</v>
      </c>
      <c r="G260" s="6">
        <v>3849.84</v>
      </c>
      <c r="H260" s="5" t="s">
        <v>68</v>
      </c>
      <c r="I260" s="3">
        <v>46138</v>
      </c>
      <c r="J260" s="8">
        <f>AS_OF-F260</f>
        <v>144</v>
      </c>
      <c r="K260" s="5" t="str">
        <f>IF(OR(AND(H260&lt;&gt;"open",H260&lt;&gt;"partial"),G260&lt;=0),"n/a",IF(J260&lt;0,"current",IF(J260&lt;=30,"0-30",IF(J260&lt;=60,"31-60",IF(J260&lt;=90,"61-90","90+")))))</f>
        <v>n/a</v>
      </c>
      <c r="L260" s="12" t="s">
        <v>867</v>
      </c>
    </row>
    <row r="261" spans="1:12">
      <c r="A261" s="12" t="s">
        <v>868</v>
      </c>
      <c r="B261" s="5" t="s">
        <v>534</v>
      </c>
      <c r="C261" s="5" t="s">
        <v>356</v>
      </c>
      <c r="D261" s="12" t="s">
        <v>197</v>
      </c>
      <c r="E261" s="3">
        <v>46101</v>
      </c>
      <c r="F261" s="3">
        <v>46131</v>
      </c>
      <c r="G261" s="6">
        <v>4647.24</v>
      </c>
      <c r="H261" s="5" t="s">
        <v>68</v>
      </c>
      <c r="I261" s="3">
        <v>46138</v>
      </c>
      <c r="J261" s="8">
        <f>AS_OF-F261</f>
        <v>144</v>
      </c>
      <c r="K261" s="5" t="str">
        <f>IF(OR(AND(H261&lt;&gt;"open",H261&lt;&gt;"partial"),G261&lt;=0),"n/a",IF(J261&lt;0,"current",IF(J261&lt;=30,"0-30",IF(J261&lt;=60,"31-60",IF(J261&lt;=90,"61-90","90+")))))</f>
        <v>n/a</v>
      </c>
      <c r="L261" s="12" t="s">
        <v>869</v>
      </c>
    </row>
    <row r="262" spans="1:12">
      <c r="A262" s="12" t="s">
        <v>870</v>
      </c>
      <c r="B262" s="5" t="s">
        <v>346</v>
      </c>
      <c r="C262" s="5" t="s">
        <v>325</v>
      </c>
      <c r="D262" s="12" t="s">
        <v>201</v>
      </c>
      <c r="E262" s="3">
        <v>46124</v>
      </c>
      <c r="F262" s="3">
        <v>46131</v>
      </c>
      <c r="G262" s="6">
        <v>20642.4</v>
      </c>
      <c r="H262" s="5" t="s">
        <v>68</v>
      </c>
      <c r="I262" s="3">
        <v>46145</v>
      </c>
      <c r="J262" s="8">
        <f>AS_OF-F262</f>
        <v>144</v>
      </c>
      <c r="K262" s="5" t="str">
        <f>IF(OR(AND(H262&lt;&gt;"open",H262&lt;&gt;"partial"),G262&lt;=0),"n/a",IF(J262&lt;0,"current",IF(J262&lt;=30,"0-30",IF(J262&lt;=60,"31-60",IF(J262&lt;=90,"61-90","90+")))))</f>
        <v>n/a</v>
      </c>
      <c r="L262" s="12" t="s">
        <v>871</v>
      </c>
    </row>
    <row r="263" spans="1:12">
      <c r="A263" s="12" t="s">
        <v>872</v>
      </c>
      <c r="B263" s="5" t="s">
        <v>332</v>
      </c>
      <c r="C263" s="5" t="s">
        <v>325</v>
      </c>
      <c r="D263" s="12" t="s">
        <v>232</v>
      </c>
      <c r="E263" s="3">
        <v>46118</v>
      </c>
      <c r="F263" s="3">
        <v>46133</v>
      </c>
      <c r="G263" s="6">
        <v>19054.08</v>
      </c>
      <c r="H263" s="5" t="s">
        <v>68</v>
      </c>
      <c r="I263" s="3">
        <v>46141</v>
      </c>
      <c r="J263" s="8">
        <f>AS_OF-F263</f>
        <v>142</v>
      </c>
      <c r="K263" s="5" t="str">
        <f>IF(OR(AND(H263&lt;&gt;"open",H263&lt;&gt;"partial"),G263&lt;=0),"n/a",IF(J263&lt;0,"current",IF(J263&lt;=30,"0-30",IF(J263&lt;=60,"31-60",IF(J263&lt;=90,"61-90","90+")))))</f>
        <v>n/a</v>
      </c>
      <c r="L263" s="12" t="s">
        <v>873</v>
      </c>
    </row>
    <row r="264" spans="1:12">
      <c r="A264" s="12" t="s">
        <v>874</v>
      </c>
      <c r="B264" s="5" t="s">
        <v>534</v>
      </c>
      <c r="C264" s="5" t="s">
        <v>356</v>
      </c>
      <c r="D264" s="12" t="s">
        <v>180</v>
      </c>
      <c r="E264" s="3">
        <v>46103</v>
      </c>
      <c r="F264" s="3">
        <v>46133</v>
      </c>
      <c r="G264" s="6">
        <v>3735</v>
      </c>
      <c r="H264" s="5" t="s">
        <v>68</v>
      </c>
      <c r="I264" s="3">
        <v>46141</v>
      </c>
      <c r="J264" s="8">
        <f>AS_OF-F264</f>
        <v>142</v>
      </c>
      <c r="K264" s="5" t="str">
        <f>IF(OR(AND(H264&lt;&gt;"open",H264&lt;&gt;"partial"),G264&lt;=0),"n/a",IF(J264&lt;0,"current",IF(J264&lt;=30,"0-30",IF(J264&lt;=60,"31-60",IF(J264&lt;=90,"61-90","90+")))))</f>
        <v>n/a</v>
      </c>
      <c r="L264" s="12" t="s">
        <v>875</v>
      </c>
    </row>
    <row r="265" spans="1:12">
      <c r="A265" s="12" t="s">
        <v>876</v>
      </c>
      <c r="B265" s="5" t="s">
        <v>369</v>
      </c>
      <c r="C265" s="5" t="s">
        <v>340</v>
      </c>
      <c r="D265" s="12" t="s">
        <v>201</v>
      </c>
      <c r="E265" s="3">
        <v>46104</v>
      </c>
      <c r="F265" s="3">
        <v>46134</v>
      </c>
      <c r="G265" s="6">
        <v>3883.32</v>
      </c>
      <c r="H265" s="5" t="s">
        <v>68</v>
      </c>
      <c r="I265" s="3">
        <v>46151</v>
      </c>
      <c r="J265" s="8">
        <f>AS_OF-F265</f>
        <v>141</v>
      </c>
      <c r="K265" s="5" t="str">
        <f>IF(OR(AND(H265&lt;&gt;"open",H265&lt;&gt;"partial"),G265&lt;=0),"n/a",IF(J265&lt;0,"current",IF(J265&lt;=30,"0-30",IF(J265&lt;=60,"31-60",IF(J265&lt;=90,"61-90","90+")))))</f>
        <v>n/a</v>
      </c>
      <c r="L265" s="12" t="s">
        <v>877</v>
      </c>
    </row>
    <row r="266" spans="1:12">
      <c r="A266" s="12" t="s">
        <v>878</v>
      </c>
      <c r="B266" s="5" t="s">
        <v>446</v>
      </c>
      <c r="C266" s="5" t="s">
        <v>356</v>
      </c>
      <c r="D266" s="12" t="s">
        <v>197</v>
      </c>
      <c r="E266" s="3">
        <v>46108</v>
      </c>
      <c r="F266" s="3">
        <v>46138</v>
      </c>
      <c r="G266" s="6">
        <v>3620.88</v>
      </c>
      <c r="H266" s="5" t="s">
        <v>68</v>
      </c>
      <c r="I266" s="3">
        <v>46143</v>
      </c>
      <c r="J266" s="8">
        <f>AS_OF-F266</f>
        <v>137</v>
      </c>
      <c r="K266" s="5" t="str">
        <f>IF(OR(AND(H266&lt;&gt;"open",H266&lt;&gt;"partial"),G266&lt;=0),"n/a",IF(J266&lt;0,"current",IF(J266&lt;=30,"0-30",IF(J266&lt;=60,"31-60",IF(J266&lt;=90,"61-90","90+")))))</f>
        <v>n/a</v>
      </c>
      <c r="L266" s="12" t="s">
        <v>879</v>
      </c>
    </row>
    <row r="267" spans="1:12">
      <c r="A267" s="12" t="s">
        <v>880</v>
      </c>
      <c r="B267" s="5" t="s">
        <v>650</v>
      </c>
      <c r="C267" s="5" t="s">
        <v>340</v>
      </c>
      <c r="D267" s="12" t="s">
        <v>180</v>
      </c>
      <c r="E267" s="3">
        <v>46093</v>
      </c>
      <c r="F267" s="3">
        <v>46138</v>
      </c>
      <c r="G267" s="6">
        <v>5336.28</v>
      </c>
      <c r="H267" s="5" t="s">
        <v>68</v>
      </c>
      <c r="I267" s="3">
        <v>46154</v>
      </c>
      <c r="J267" s="8">
        <f>AS_OF-F267</f>
        <v>137</v>
      </c>
      <c r="K267" s="5" t="str">
        <f>IF(OR(AND(H267&lt;&gt;"open",H267&lt;&gt;"partial"),G267&lt;=0),"n/a",IF(J267&lt;0,"current",IF(J267&lt;=30,"0-30",IF(J267&lt;=60,"31-60",IF(J267&lt;=90,"61-90","90+")))))</f>
        <v>n/a</v>
      </c>
      <c r="L267" s="12" t="s">
        <v>881</v>
      </c>
    </row>
    <row r="268" spans="1:12">
      <c r="A268" s="12" t="s">
        <v>882</v>
      </c>
      <c r="B268" s="5" t="s">
        <v>369</v>
      </c>
      <c r="C268" s="5" t="s">
        <v>340</v>
      </c>
      <c r="D268" s="12" t="s">
        <v>201</v>
      </c>
      <c r="E268" s="3">
        <v>46109</v>
      </c>
      <c r="F268" s="3">
        <v>46139</v>
      </c>
      <c r="G268" s="6">
        <v>6916.5</v>
      </c>
      <c r="H268" s="5" t="s">
        <v>68</v>
      </c>
      <c r="I268" s="3">
        <v>46145</v>
      </c>
      <c r="J268" s="8">
        <f>AS_OF-F268</f>
        <v>136</v>
      </c>
      <c r="K268" s="5" t="str">
        <f>IF(OR(AND(H268&lt;&gt;"open",H268&lt;&gt;"partial"),G268&lt;=0),"n/a",IF(J268&lt;0,"current",IF(J268&lt;=30,"0-30",IF(J268&lt;=60,"31-60",IF(J268&lt;=90,"61-90","90+")))))</f>
        <v>n/a</v>
      </c>
      <c r="L268" s="12" t="s">
        <v>883</v>
      </c>
    </row>
    <row r="269" spans="1:12">
      <c r="A269" s="12" t="s">
        <v>884</v>
      </c>
      <c r="B269" s="5" t="s">
        <v>352</v>
      </c>
      <c r="C269" s="5" t="s">
        <v>325</v>
      </c>
      <c r="D269" s="12" t="s">
        <v>220</v>
      </c>
      <c r="E269" s="3">
        <v>46134</v>
      </c>
      <c r="F269" s="3">
        <v>46141</v>
      </c>
      <c r="G269" s="6">
        <v>17532.18</v>
      </c>
      <c r="H269" s="5" t="s">
        <v>68</v>
      </c>
      <c r="I269" s="3">
        <v>46150</v>
      </c>
      <c r="J269" s="8">
        <f>AS_OF-F269</f>
        <v>134</v>
      </c>
      <c r="K269" s="5" t="str">
        <f>IF(OR(AND(H269&lt;&gt;"open",H269&lt;&gt;"partial"),G269&lt;=0),"n/a",IF(J269&lt;0,"current",IF(J269&lt;=30,"0-30",IF(J269&lt;=60,"31-60",IF(J269&lt;=90,"61-90","90+")))))</f>
        <v>n/a</v>
      </c>
      <c r="L269" s="12" t="s">
        <v>885</v>
      </c>
    </row>
    <row r="270" spans="1:12">
      <c r="A270" s="12" t="s">
        <v>886</v>
      </c>
      <c r="B270" s="5" t="s">
        <v>346</v>
      </c>
      <c r="C270" s="5" t="s">
        <v>325</v>
      </c>
      <c r="D270" s="12" t="s">
        <v>238</v>
      </c>
      <c r="E270" s="3">
        <v>46137</v>
      </c>
      <c r="F270" s="3">
        <v>46144</v>
      </c>
      <c r="G270" s="6">
        <v>24127.56</v>
      </c>
      <c r="H270" s="5" t="s">
        <v>68</v>
      </c>
      <c r="I270" s="3">
        <v>46148</v>
      </c>
      <c r="J270" s="8">
        <f>AS_OF-F270</f>
        <v>131</v>
      </c>
      <c r="K270" s="5" t="str">
        <f>IF(OR(AND(H270&lt;&gt;"open",H270&lt;&gt;"partial"),G270&lt;=0),"n/a",IF(J270&lt;0,"current",IF(J270&lt;=30,"0-30",IF(J270&lt;=60,"31-60",IF(J270&lt;=90,"61-90","90+")))))</f>
        <v>n/a</v>
      </c>
      <c r="L270" s="12" t="s">
        <v>887</v>
      </c>
    </row>
    <row r="271" spans="1:12">
      <c r="A271" s="12" t="s">
        <v>888</v>
      </c>
      <c r="B271" s="5" t="s">
        <v>650</v>
      </c>
      <c r="C271" s="5" t="s">
        <v>340</v>
      </c>
      <c r="D271" s="12" t="s">
        <v>180</v>
      </c>
      <c r="E271" s="3">
        <v>46101</v>
      </c>
      <c r="F271" s="3">
        <v>46146</v>
      </c>
      <c r="G271" s="6">
        <v>3960.18</v>
      </c>
      <c r="H271" s="5" t="s">
        <v>68</v>
      </c>
      <c r="I271" s="3">
        <v>46157</v>
      </c>
      <c r="J271" s="8">
        <f>AS_OF-F271</f>
        <v>129</v>
      </c>
      <c r="K271" s="5" t="str">
        <f>IF(OR(AND(H271&lt;&gt;"open",H271&lt;&gt;"partial"),G271&lt;=0),"n/a",IF(J271&lt;0,"current",IF(J271&lt;=30,"0-30",IF(J271&lt;=60,"31-60",IF(J271&lt;=90,"61-90","90+")))))</f>
        <v>n/a</v>
      </c>
      <c r="L271" s="12" t="s">
        <v>889</v>
      </c>
    </row>
    <row r="272" spans="1:12">
      <c r="A272" s="12" t="s">
        <v>890</v>
      </c>
      <c r="B272" s="5" t="s">
        <v>399</v>
      </c>
      <c r="C272" s="5" t="s">
        <v>375</v>
      </c>
      <c r="D272" s="12" t="s">
        <v>238</v>
      </c>
      <c r="E272" s="3">
        <v>46132</v>
      </c>
      <c r="F272" s="3">
        <v>46147</v>
      </c>
      <c r="G272" s="6">
        <v>3860.1</v>
      </c>
      <c r="H272" s="5" t="s">
        <v>68</v>
      </c>
      <c r="I272" s="3">
        <v>46158</v>
      </c>
      <c r="J272" s="8">
        <f>AS_OF-F272</f>
        <v>128</v>
      </c>
      <c r="K272" s="5" t="str">
        <f>IF(OR(AND(H272&lt;&gt;"open",H272&lt;&gt;"partial"),G272&lt;=0),"n/a",IF(J272&lt;0,"current",IF(J272&lt;=30,"0-30",IF(J272&lt;=60,"31-60",IF(J272&lt;=90,"61-90","90+")))))</f>
        <v>n/a</v>
      </c>
      <c r="L272" s="12" t="s">
        <v>891</v>
      </c>
    </row>
    <row r="273" spans="1:12">
      <c r="A273" s="12" t="s">
        <v>892</v>
      </c>
      <c r="B273" s="5" t="s">
        <v>443</v>
      </c>
      <c r="C273" s="5" t="s">
        <v>329</v>
      </c>
      <c r="D273" s="12" t="s">
        <v>227</v>
      </c>
      <c r="E273" s="3">
        <v>46132</v>
      </c>
      <c r="F273" s="3">
        <v>46147</v>
      </c>
      <c r="G273" s="6">
        <v>13137.12</v>
      </c>
      <c r="H273" s="5" t="s">
        <v>68</v>
      </c>
      <c r="I273" s="3">
        <v>46153</v>
      </c>
      <c r="J273" s="8">
        <f>AS_OF-F273</f>
        <v>128</v>
      </c>
      <c r="K273" s="5" t="str">
        <f>IF(OR(AND(H273&lt;&gt;"open",H273&lt;&gt;"partial"),G273&lt;=0),"n/a",IF(J273&lt;0,"current",IF(J273&lt;=30,"0-30",IF(J273&lt;=60,"31-60",IF(J273&lt;=90,"61-90","90+")))))</f>
        <v>n/a</v>
      </c>
      <c r="L273" s="12" t="s">
        <v>893</v>
      </c>
    </row>
    <row r="274" spans="1:12">
      <c r="A274" s="12" t="s">
        <v>894</v>
      </c>
      <c r="B274" s="5" t="s">
        <v>366</v>
      </c>
      <c r="C274" s="5" t="s">
        <v>329</v>
      </c>
      <c r="D274" s="12" t="s">
        <v>232</v>
      </c>
      <c r="E274" s="3">
        <v>46133</v>
      </c>
      <c r="F274" s="3">
        <v>46148</v>
      </c>
      <c r="G274" s="6">
        <v>8238.6</v>
      </c>
      <c r="H274" s="5" t="s">
        <v>68</v>
      </c>
      <c r="I274" s="3">
        <v>46163</v>
      </c>
      <c r="J274" s="8">
        <f>AS_OF-F274</f>
        <v>127</v>
      </c>
      <c r="K274" s="5" t="str">
        <f>IF(OR(AND(H274&lt;&gt;"open",H274&lt;&gt;"partial"),G274&lt;=0),"n/a",IF(J274&lt;0,"current",IF(J274&lt;=30,"0-30",IF(J274&lt;=60,"31-60",IF(J274&lt;=90,"61-90","90+")))))</f>
        <v>n/a</v>
      </c>
      <c r="L274" s="12" t="s">
        <v>895</v>
      </c>
    </row>
    <row r="275" spans="1:12">
      <c r="A275" s="12" t="s">
        <v>896</v>
      </c>
      <c r="B275" s="5" t="s">
        <v>650</v>
      </c>
      <c r="C275" s="5" t="s">
        <v>340</v>
      </c>
      <c r="D275" s="12" t="s">
        <v>220</v>
      </c>
      <c r="E275" s="3">
        <v>46104</v>
      </c>
      <c r="F275" s="3">
        <v>46149</v>
      </c>
      <c r="G275" s="6">
        <v>6888.6</v>
      </c>
      <c r="H275" s="5" t="s">
        <v>198</v>
      </c>
      <c r="I275" s="5" t="s">
        <v>150</v>
      </c>
      <c r="J275" s="8">
        <f>AS_OF-F275</f>
        <v>126</v>
      </c>
      <c r="K275" s="5" t="str">
        <f>IF(OR(AND(H275&lt;&gt;"open",H275&lt;&gt;"partial"),G275&lt;=0),"n/a",IF(J275&lt;0,"current",IF(J275&lt;=30,"0-30",IF(J275&lt;=60,"31-60",IF(J275&lt;=90,"61-90","90+")))))</f>
        <v>90+</v>
      </c>
      <c r="L275" s="12" t="s">
        <v>897</v>
      </c>
    </row>
    <row r="276" spans="1:12">
      <c r="A276" s="12" t="s">
        <v>898</v>
      </c>
      <c r="B276" s="5" t="s">
        <v>369</v>
      </c>
      <c r="C276" s="5" t="s">
        <v>340</v>
      </c>
      <c r="D276" s="12" t="s">
        <v>217</v>
      </c>
      <c r="E276" s="3">
        <v>46120</v>
      </c>
      <c r="F276" s="3">
        <v>46150</v>
      </c>
      <c r="G276" s="6">
        <v>8385.120000000001</v>
      </c>
      <c r="H276" s="5" t="s">
        <v>68</v>
      </c>
      <c r="I276" s="3">
        <v>46176</v>
      </c>
      <c r="J276" s="8">
        <f>AS_OF-F276</f>
        <v>125</v>
      </c>
      <c r="K276" s="5" t="str">
        <f>IF(OR(AND(H276&lt;&gt;"open",H276&lt;&gt;"partial"),G276&lt;=0),"n/a",IF(J276&lt;0,"current",IF(J276&lt;=30,"0-30",IF(J276&lt;=60,"31-60",IF(J276&lt;=90,"61-90","90+")))))</f>
        <v>n/a</v>
      </c>
      <c r="L276" s="12" t="s">
        <v>899</v>
      </c>
    </row>
    <row r="277" spans="1:12">
      <c r="A277" s="12" t="s">
        <v>900</v>
      </c>
      <c r="B277" s="5" t="s">
        <v>543</v>
      </c>
      <c r="C277" s="5" t="s">
        <v>329</v>
      </c>
      <c r="D277" s="12" t="s">
        <v>232</v>
      </c>
      <c r="E277" s="3">
        <v>46122</v>
      </c>
      <c r="F277" s="3">
        <v>46152</v>
      </c>
      <c r="G277" s="6">
        <v>7465.86</v>
      </c>
      <c r="H277" s="5" t="s">
        <v>68</v>
      </c>
      <c r="I277" s="3">
        <v>46167</v>
      </c>
      <c r="J277" s="8">
        <f>AS_OF-F277</f>
        <v>123</v>
      </c>
      <c r="K277" s="5" t="str">
        <f>IF(OR(AND(H277&lt;&gt;"open",H277&lt;&gt;"partial"),G277&lt;=0),"n/a",IF(J277&lt;0,"current",IF(J277&lt;=30,"0-30",IF(J277&lt;=60,"31-60",IF(J277&lt;=90,"61-90","90+")))))</f>
        <v>n/a</v>
      </c>
      <c r="L277" s="12" t="s">
        <v>901</v>
      </c>
    </row>
    <row r="278" spans="1:12">
      <c r="A278" s="12" t="s">
        <v>902</v>
      </c>
      <c r="B278" s="5" t="s">
        <v>399</v>
      </c>
      <c r="C278" s="5" t="s">
        <v>375</v>
      </c>
      <c r="D278" s="12" t="s">
        <v>217</v>
      </c>
      <c r="E278" s="3">
        <v>46137</v>
      </c>
      <c r="F278" s="3">
        <v>46152</v>
      </c>
      <c r="G278" s="6">
        <v>3609.9</v>
      </c>
      <c r="H278" s="5" t="s">
        <v>68</v>
      </c>
      <c r="I278" s="3">
        <v>46180</v>
      </c>
      <c r="J278" s="8">
        <f>AS_OF-F278</f>
        <v>123</v>
      </c>
      <c r="K278" s="5" t="str">
        <f>IF(OR(AND(H278&lt;&gt;"open",H278&lt;&gt;"partial"),G278&lt;=0),"n/a",IF(J278&lt;0,"current",IF(J278&lt;=30,"0-30",IF(J278&lt;=60,"31-60",IF(J278&lt;=90,"61-90","90+")))))</f>
        <v>n/a</v>
      </c>
      <c r="L278" s="12" t="s">
        <v>903</v>
      </c>
    </row>
    <row r="279" spans="1:12">
      <c r="A279" s="12" t="s">
        <v>904</v>
      </c>
      <c r="B279" s="5" t="s">
        <v>374</v>
      </c>
      <c r="C279" s="5" t="s">
        <v>375</v>
      </c>
      <c r="D279" s="12" t="s">
        <v>238</v>
      </c>
      <c r="E279" s="3">
        <v>46124</v>
      </c>
      <c r="F279" s="3">
        <v>46154</v>
      </c>
      <c r="G279" s="6">
        <v>4645.8</v>
      </c>
      <c r="H279" s="5" t="s">
        <v>68</v>
      </c>
      <c r="I279" s="3">
        <v>46170</v>
      </c>
      <c r="J279" s="8">
        <f>AS_OF-F279</f>
        <v>121</v>
      </c>
      <c r="K279" s="5" t="str">
        <f>IF(OR(AND(H279&lt;&gt;"open",H279&lt;&gt;"partial"),G279&lt;=0),"n/a",IF(J279&lt;0,"current",IF(J279&lt;=30,"0-30",IF(J279&lt;=60,"31-60",IF(J279&lt;=90,"61-90","90+")))))</f>
        <v>n/a</v>
      </c>
      <c r="L279" s="12" t="s">
        <v>905</v>
      </c>
    </row>
    <row r="280" spans="1:12">
      <c r="A280" s="12" t="s">
        <v>906</v>
      </c>
      <c r="B280" s="5" t="s">
        <v>324</v>
      </c>
      <c r="C280" s="5" t="s">
        <v>325</v>
      </c>
      <c r="D280" s="12" t="s">
        <v>238</v>
      </c>
      <c r="E280" s="3">
        <v>46139</v>
      </c>
      <c r="F280" s="3">
        <v>46154</v>
      </c>
      <c r="G280" s="6">
        <v>20615.94</v>
      </c>
      <c r="H280" s="5" t="s">
        <v>68</v>
      </c>
      <c r="I280" s="3">
        <v>46162</v>
      </c>
      <c r="J280" s="8">
        <f>AS_OF-F280</f>
        <v>121</v>
      </c>
      <c r="K280" s="5" t="str">
        <f>IF(OR(AND(H280&lt;&gt;"open",H280&lt;&gt;"partial"),G280&lt;=0),"n/a",IF(J280&lt;0,"current",IF(J280&lt;=30,"0-30",IF(J280&lt;=60,"31-60",IF(J280&lt;=90,"61-90","90+")))))</f>
        <v>n/a</v>
      </c>
      <c r="L280" s="12" t="s">
        <v>907</v>
      </c>
    </row>
    <row r="281" spans="1:12">
      <c r="A281" s="12" t="s">
        <v>908</v>
      </c>
      <c r="B281" s="5" t="s">
        <v>346</v>
      </c>
      <c r="C281" s="5" t="s">
        <v>325</v>
      </c>
      <c r="D281" s="12" t="s">
        <v>247</v>
      </c>
      <c r="E281" s="3">
        <v>46148</v>
      </c>
      <c r="F281" s="3">
        <v>46155</v>
      </c>
      <c r="G281" s="6">
        <v>23151.24</v>
      </c>
      <c r="H281" s="5" t="s">
        <v>68</v>
      </c>
      <c r="I281" s="3">
        <v>46163</v>
      </c>
      <c r="J281" s="8">
        <f>AS_OF-F281</f>
        <v>120</v>
      </c>
      <c r="K281" s="5" t="str">
        <f>IF(OR(AND(H281&lt;&gt;"open",H281&lt;&gt;"partial"),G281&lt;=0),"n/a",IF(J281&lt;0,"current",IF(J281&lt;=30,"0-30",IF(J281&lt;=60,"31-60",IF(J281&lt;=90,"61-90","90+")))))</f>
        <v>n/a</v>
      </c>
      <c r="L281" s="12" t="s">
        <v>909</v>
      </c>
    </row>
    <row r="282" spans="1:12">
      <c r="A282" s="12" t="s">
        <v>910</v>
      </c>
      <c r="B282" s="5" t="s">
        <v>534</v>
      </c>
      <c r="C282" s="5" t="s">
        <v>356</v>
      </c>
      <c r="D282" s="12" t="s">
        <v>217</v>
      </c>
      <c r="E282" s="3">
        <v>46125</v>
      </c>
      <c r="F282" s="3">
        <v>46155</v>
      </c>
      <c r="G282" s="6">
        <v>4358.7</v>
      </c>
      <c r="H282" s="5" t="s">
        <v>68</v>
      </c>
      <c r="I282" s="3">
        <v>46166</v>
      </c>
      <c r="J282" s="8">
        <f>AS_OF-F282</f>
        <v>120</v>
      </c>
      <c r="K282" s="5" t="str">
        <f>IF(OR(AND(H282&lt;&gt;"open",H282&lt;&gt;"partial"),G282&lt;=0),"n/a",IF(J282&lt;0,"current",IF(J282&lt;=30,"0-30",IF(J282&lt;=60,"31-60",IF(J282&lt;=90,"61-90","90+")))))</f>
        <v>n/a</v>
      </c>
      <c r="L282" s="12" t="s">
        <v>911</v>
      </c>
    </row>
    <row r="283" spans="1:12">
      <c r="A283" s="12" t="s">
        <v>912</v>
      </c>
      <c r="B283" s="5" t="s">
        <v>396</v>
      </c>
      <c r="C283" s="5" t="s">
        <v>356</v>
      </c>
      <c r="D283" s="12" t="s">
        <v>212</v>
      </c>
      <c r="E283" s="3">
        <v>46126</v>
      </c>
      <c r="F283" s="3">
        <v>46156</v>
      </c>
      <c r="G283" s="6">
        <v>3995.1</v>
      </c>
      <c r="H283" s="5" t="s">
        <v>68</v>
      </c>
      <c r="I283" s="3">
        <v>46181</v>
      </c>
      <c r="J283" s="8">
        <f>AS_OF-F283</f>
        <v>119</v>
      </c>
      <c r="K283" s="5" t="str">
        <f>IF(OR(AND(H283&lt;&gt;"open",H283&lt;&gt;"partial"),G283&lt;=0),"n/a",IF(J283&lt;0,"current",IF(J283&lt;=30,"0-30",IF(J283&lt;=60,"31-60",IF(J283&lt;=90,"61-90","90+")))))</f>
        <v>n/a</v>
      </c>
      <c r="L283" s="12" t="s">
        <v>913</v>
      </c>
    </row>
    <row r="284" spans="1:12">
      <c r="A284" s="12" t="s">
        <v>914</v>
      </c>
      <c r="B284" s="5" t="s">
        <v>405</v>
      </c>
      <c r="C284" s="5" t="s">
        <v>340</v>
      </c>
      <c r="D284" s="12" t="s">
        <v>232</v>
      </c>
      <c r="E284" s="3">
        <v>46126</v>
      </c>
      <c r="F284" s="3">
        <v>46156</v>
      </c>
      <c r="G284" s="6">
        <v>5524.02</v>
      </c>
      <c r="H284" s="5" t="s">
        <v>68</v>
      </c>
      <c r="I284" s="3">
        <v>46167</v>
      </c>
      <c r="J284" s="8">
        <f>AS_OF-F284</f>
        <v>119</v>
      </c>
      <c r="K284" s="5" t="str">
        <f>IF(OR(AND(H284&lt;&gt;"open",H284&lt;&gt;"partial"),G284&lt;=0),"n/a",IF(J284&lt;0,"current",IF(J284&lt;=30,"0-30",IF(J284&lt;=60,"31-60",IF(J284&lt;=90,"61-90","90+")))))</f>
        <v>n/a</v>
      </c>
      <c r="L284" s="12" t="s">
        <v>915</v>
      </c>
    </row>
    <row r="285" spans="1:12">
      <c r="A285" s="12" t="s">
        <v>916</v>
      </c>
      <c r="B285" s="5" t="s">
        <v>332</v>
      </c>
      <c r="C285" s="5" t="s">
        <v>325</v>
      </c>
      <c r="D285" s="12" t="s">
        <v>220</v>
      </c>
      <c r="E285" s="3">
        <v>46143</v>
      </c>
      <c r="F285" s="3">
        <v>46158</v>
      </c>
      <c r="G285" s="6">
        <v>10690.56</v>
      </c>
      <c r="H285" s="5" t="s">
        <v>68</v>
      </c>
      <c r="I285" s="3">
        <v>46184</v>
      </c>
      <c r="J285" s="8">
        <f>AS_OF-F285</f>
        <v>117</v>
      </c>
      <c r="K285" s="5" t="str">
        <f>IF(OR(AND(H285&lt;&gt;"open",H285&lt;&gt;"partial"),G285&lt;=0),"n/a",IF(J285&lt;0,"current",IF(J285&lt;=30,"0-30",IF(J285&lt;=60,"31-60",IF(J285&lt;=90,"61-90","90+")))))</f>
        <v>n/a</v>
      </c>
      <c r="L285" s="12" t="s">
        <v>917</v>
      </c>
    </row>
    <row r="286" spans="1:12">
      <c r="A286" s="12" t="s">
        <v>918</v>
      </c>
      <c r="B286" s="5" t="s">
        <v>343</v>
      </c>
      <c r="C286" s="5" t="s">
        <v>329</v>
      </c>
      <c r="D286" s="12" t="s">
        <v>212</v>
      </c>
      <c r="E286" s="3">
        <v>46128</v>
      </c>
      <c r="F286" s="3">
        <v>46158</v>
      </c>
      <c r="G286" s="6">
        <v>10926</v>
      </c>
      <c r="H286" s="5" t="s">
        <v>68</v>
      </c>
      <c r="I286" s="3">
        <v>46166</v>
      </c>
      <c r="J286" s="8">
        <f>AS_OF-F286</f>
        <v>117</v>
      </c>
      <c r="K286" s="5" t="str">
        <f>IF(OR(AND(H286&lt;&gt;"open",H286&lt;&gt;"partial"),G286&lt;=0),"n/a",IF(J286&lt;0,"current",IF(J286&lt;=30,"0-30",IF(J286&lt;=60,"31-60",IF(J286&lt;=90,"61-90","90+")))))</f>
        <v>n/a</v>
      </c>
      <c r="L286" s="12" t="s">
        <v>919</v>
      </c>
    </row>
    <row r="287" spans="1:12">
      <c r="A287" s="12" t="s">
        <v>920</v>
      </c>
      <c r="B287" s="5" t="s">
        <v>384</v>
      </c>
      <c r="C287" s="5" t="s">
        <v>375</v>
      </c>
      <c r="D287" s="12" t="s">
        <v>212</v>
      </c>
      <c r="E287" s="3">
        <v>46144</v>
      </c>
      <c r="F287" s="3">
        <v>46159</v>
      </c>
      <c r="G287" s="6">
        <v>4465.26</v>
      </c>
      <c r="H287" s="5" t="s">
        <v>68</v>
      </c>
      <c r="I287" s="3">
        <v>46172</v>
      </c>
      <c r="J287" s="8">
        <f>AS_OF-F287</f>
        <v>116</v>
      </c>
      <c r="K287" s="5" t="str">
        <f>IF(OR(AND(H287&lt;&gt;"open",H287&lt;&gt;"partial"),G287&lt;=0),"n/a",IF(J287&lt;0,"current",IF(J287&lt;=30,"0-30",IF(J287&lt;=60,"31-60",IF(J287&lt;=90,"61-90","90+")))))</f>
        <v>n/a</v>
      </c>
      <c r="L287" s="12" t="s">
        <v>921</v>
      </c>
    </row>
    <row r="288" spans="1:12">
      <c r="A288" s="12" t="s">
        <v>922</v>
      </c>
      <c r="B288" s="5" t="s">
        <v>650</v>
      </c>
      <c r="C288" s="5" t="s">
        <v>340</v>
      </c>
      <c r="D288" s="12" t="s">
        <v>220</v>
      </c>
      <c r="E288" s="3">
        <v>46117</v>
      </c>
      <c r="F288" s="3">
        <v>46162</v>
      </c>
      <c r="G288" s="6">
        <v>3819.06</v>
      </c>
      <c r="H288" s="5" t="s">
        <v>68</v>
      </c>
      <c r="I288" s="3">
        <v>46181</v>
      </c>
      <c r="J288" s="8">
        <f>AS_OF-F288</f>
        <v>113</v>
      </c>
      <c r="K288" s="5" t="str">
        <f>IF(OR(AND(H288&lt;&gt;"open",H288&lt;&gt;"partial"),G288&lt;=0),"n/a",IF(J288&lt;0,"current",IF(J288&lt;=30,"0-30",IF(J288&lt;=60,"31-60",IF(J288&lt;=90,"61-90","90+")))))</f>
        <v>n/a</v>
      </c>
      <c r="L288" s="12" t="s">
        <v>923</v>
      </c>
    </row>
    <row r="289" spans="1:12">
      <c r="A289" s="12" t="s">
        <v>924</v>
      </c>
      <c r="B289" s="5" t="s">
        <v>396</v>
      </c>
      <c r="C289" s="5" t="s">
        <v>356</v>
      </c>
      <c r="D289" s="12" t="s">
        <v>235</v>
      </c>
      <c r="E289" s="3">
        <v>46134</v>
      </c>
      <c r="F289" s="3">
        <v>46164</v>
      </c>
      <c r="G289" s="6">
        <v>3608.1</v>
      </c>
      <c r="H289" s="5" t="s">
        <v>68</v>
      </c>
      <c r="I289" s="3">
        <v>46185</v>
      </c>
      <c r="J289" s="8">
        <f>AS_OF-F289</f>
        <v>111</v>
      </c>
      <c r="K289" s="5" t="str">
        <f>IF(OR(AND(H289&lt;&gt;"open",H289&lt;&gt;"partial"),G289&lt;=0),"n/a",IF(J289&lt;0,"current",IF(J289&lt;=30,"0-30",IF(J289&lt;=60,"31-60",IF(J289&lt;=90,"61-90","90+")))))</f>
        <v>n/a</v>
      </c>
      <c r="L289" s="12" t="s">
        <v>925</v>
      </c>
    </row>
    <row r="290" spans="1:12">
      <c r="A290" s="12" t="s">
        <v>926</v>
      </c>
      <c r="B290" s="5" t="s">
        <v>399</v>
      </c>
      <c r="C290" s="5" t="s">
        <v>375</v>
      </c>
      <c r="D290" s="12" t="s">
        <v>220</v>
      </c>
      <c r="E290" s="3">
        <v>46150</v>
      </c>
      <c r="F290" s="3">
        <v>46165</v>
      </c>
      <c r="G290" s="6">
        <v>3650.22</v>
      </c>
      <c r="H290" s="5" t="s">
        <v>198</v>
      </c>
      <c r="I290" s="5" t="s">
        <v>150</v>
      </c>
      <c r="J290" s="8">
        <f>AS_OF-F290</f>
        <v>110</v>
      </c>
      <c r="K290" s="5" t="str">
        <f>IF(OR(AND(H290&lt;&gt;"open",H290&lt;&gt;"partial"),G290&lt;=0),"n/a",IF(J290&lt;0,"current",IF(J290&lt;=30,"0-30",IF(J290&lt;=60,"31-60",IF(J290&lt;=90,"61-90","90+")))))</f>
        <v>90+</v>
      </c>
      <c r="L290" s="12" t="s">
        <v>927</v>
      </c>
    </row>
    <row r="291" spans="1:12">
      <c r="A291" s="12" t="s">
        <v>928</v>
      </c>
      <c r="B291" s="5" t="s">
        <v>366</v>
      </c>
      <c r="C291" s="5" t="s">
        <v>329</v>
      </c>
      <c r="D291" s="12" t="s">
        <v>220</v>
      </c>
      <c r="E291" s="3">
        <v>46150</v>
      </c>
      <c r="F291" s="3">
        <v>46165</v>
      </c>
      <c r="G291" s="6">
        <v>11020.5</v>
      </c>
      <c r="H291" s="5" t="s">
        <v>68</v>
      </c>
      <c r="I291" s="3">
        <v>46177</v>
      </c>
      <c r="J291" s="8">
        <f>AS_OF-F291</f>
        <v>110</v>
      </c>
      <c r="K291" s="5" t="str">
        <f>IF(OR(AND(H291&lt;&gt;"open",H291&lt;&gt;"partial"),G291&lt;=0),"n/a",IF(J291&lt;0,"current",IF(J291&lt;=30,"0-30",IF(J291&lt;=60,"31-60",IF(J291&lt;=90,"61-90","90+")))))</f>
        <v>n/a</v>
      </c>
      <c r="L291" s="12" t="s">
        <v>929</v>
      </c>
    </row>
    <row r="292" spans="1:12">
      <c r="A292" s="12" t="s">
        <v>930</v>
      </c>
      <c r="B292" s="5" t="s">
        <v>324</v>
      </c>
      <c r="C292" s="5" t="s">
        <v>325</v>
      </c>
      <c r="D292" s="12" t="s">
        <v>238</v>
      </c>
      <c r="E292" s="3">
        <v>46152</v>
      </c>
      <c r="F292" s="3">
        <v>46167</v>
      </c>
      <c r="G292" s="6">
        <v>20458.44</v>
      </c>
      <c r="H292" s="5" t="s">
        <v>68</v>
      </c>
      <c r="I292" s="3">
        <v>46184</v>
      </c>
      <c r="J292" s="8">
        <f>AS_OF-F292</f>
        <v>108</v>
      </c>
      <c r="K292" s="5" t="str">
        <f>IF(OR(AND(H292&lt;&gt;"open",H292&lt;&gt;"partial"),G292&lt;=0),"n/a",IF(J292&lt;0,"current",IF(J292&lt;=30,"0-30",IF(J292&lt;=60,"31-60",IF(J292&lt;=90,"61-90","90+")))))</f>
        <v>n/a</v>
      </c>
      <c r="L292" s="12" t="s">
        <v>931</v>
      </c>
    </row>
    <row r="293" spans="1:12">
      <c r="A293" s="12" t="s">
        <v>932</v>
      </c>
      <c r="B293" s="5" t="s">
        <v>534</v>
      </c>
      <c r="C293" s="5" t="s">
        <v>356</v>
      </c>
      <c r="D293" s="12" t="s">
        <v>235</v>
      </c>
      <c r="E293" s="3">
        <v>46138</v>
      </c>
      <c r="F293" s="3">
        <v>46168</v>
      </c>
      <c r="G293" s="6">
        <v>6510.24</v>
      </c>
      <c r="H293" s="5" t="s">
        <v>68</v>
      </c>
      <c r="I293" s="3">
        <v>46193</v>
      </c>
      <c r="J293" s="8">
        <f>AS_OF-F293</f>
        <v>107</v>
      </c>
      <c r="K293" s="5" t="str">
        <f>IF(OR(AND(H293&lt;&gt;"open",H293&lt;&gt;"partial"),G293&lt;=0),"n/a",IF(J293&lt;0,"current",IF(J293&lt;=30,"0-30",IF(J293&lt;=60,"31-60",IF(J293&lt;=90,"61-90","90+")))))</f>
        <v>n/a</v>
      </c>
      <c r="L293" s="12" t="s">
        <v>933</v>
      </c>
    </row>
    <row r="294" spans="1:12">
      <c r="A294" s="12" t="s">
        <v>934</v>
      </c>
      <c r="B294" s="5" t="s">
        <v>352</v>
      </c>
      <c r="C294" s="5" t="s">
        <v>325</v>
      </c>
      <c r="D294" s="12" t="s">
        <v>232</v>
      </c>
      <c r="E294" s="3">
        <v>46163</v>
      </c>
      <c r="F294" s="3">
        <v>46170</v>
      </c>
      <c r="G294" s="6">
        <v>21811.68</v>
      </c>
      <c r="H294" s="5" t="s">
        <v>68</v>
      </c>
      <c r="I294" s="3">
        <v>46179</v>
      </c>
      <c r="J294" s="8">
        <f>AS_OF-F294</f>
        <v>105</v>
      </c>
      <c r="K294" s="5" t="str">
        <f>IF(OR(AND(H294&lt;&gt;"open",H294&lt;&gt;"partial"),G294&lt;=0),"n/a",IF(J294&lt;0,"current",IF(J294&lt;=30,"0-30",IF(J294&lt;=60,"31-60",IF(J294&lt;=90,"61-90","90+")))))</f>
        <v>n/a</v>
      </c>
      <c r="L294" s="12" t="s">
        <v>935</v>
      </c>
    </row>
    <row r="295" spans="1:12">
      <c r="A295" s="12" t="s">
        <v>936</v>
      </c>
      <c r="B295" s="5" t="s">
        <v>396</v>
      </c>
      <c r="C295" s="5" t="s">
        <v>356</v>
      </c>
      <c r="D295" s="12" t="s">
        <v>212</v>
      </c>
      <c r="E295" s="3">
        <v>46141</v>
      </c>
      <c r="F295" s="3">
        <v>46171</v>
      </c>
      <c r="G295" s="6">
        <v>4270.5</v>
      </c>
      <c r="H295" s="5" t="s">
        <v>68</v>
      </c>
      <c r="I295" s="3">
        <v>46188</v>
      </c>
      <c r="J295" s="8">
        <f>AS_OF-F295</f>
        <v>104</v>
      </c>
      <c r="K295" s="5" t="str">
        <f>IF(OR(AND(H295&lt;&gt;"open",H295&lt;&gt;"partial"),G295&lt;=0),"n/a",IF(J295&lt;0,"current",IF(J295&lt;=30,"0-30",IF(J295&lt;=60,"31-60",IF(J295&lt;=90,"61-90","90+")))))</f>
        <v>n/a</v>
      </c>
      <c r="L295" s="12" t="s">
        <v>937</v>
      </c>
    </row>
    <row r="296" spans="1:12">
      <c r="A296" s="12" t="s">
        <v>938</v>
      </c>
      <c r="B296" s="5" t="s">
        <v>363</v>
      </c>
      <c r="C296" s="5" t="s">
        <v>329</v>
      </c>
      <c r="D296" s="12" t="s">
        <v>235</v>
      </c>
      <c r="E296" s="3">
        <v>46141</v>
      </c>
      <c r="F296" s="3">
        <v>46171</v>
      </c>
      <c r="G296" s="6">
        <v>15032.34</v>
      </c>
      <c r="H296" s="5" t="s">
        <v>68</v>
      </c>
      <c r="I296" s="3">
        <v>46180</v>
      </c>
      <c r="J296" s="8">
        <f>AS_OF-F296</f>
        <v>104</v>
      </c>
      <c r="K296" s="5" t="str">
        <f>IF(OR(AND(H296&lt;&gt;"open",H296&lt;&gt;"partial"),G296&lt;=0),"n/a",IF(J296&lt;0,"current",IF(J296&lt;=30,"0-30",IF(J296&lt;=60,"31-60",IF(J296&lt;=90,"61-90","90+")))))</f>
        <v>n/a</v>
      </c>
      <c r="L296" s="12" t="s">
        <v>939</v>
      </c>
    </row>
    <row r="297" spans="1:12">
      <c r="A297" s="12" t="s">
        <v>940</v>
      </c>
      <c r="B297" s="5" t="s">
        <v>531</v>
      </c>
      <c r="C297" s="5" t="s">
        <v>375</v>
      </c>
      <c r="D297" s="12" t="s">
        <v>220</v>
      </c>
      <c r="E297" s="3">
        <v>46159</v>
      </c>
      <c r="F297" s="3">
        <v>46174</v>
      </c>
      <c r="G297" s="6">
        <v>5412.6</v>
      </c>
      <c r="H297" s="5" t="s">
        <v>68</v>
      </c>
      <c r="I297" s="3">
        <v>46183</v>
      </c>
      <c r="J297" s="8">
        <f>AS_OF-F297</f>
        <v>101</v>
      </c>
      <c r="K297" s="5" t="str">
        <f>IF(OR(AND(H297&lt;&gt;"open",H297&lt;&gt;"partial"),G297&lt;=0),"n/a",IF(J297&lt;0,"current",IF(J297&lt;=30,"0-30",IF(J297&lt;=60,"31-60",IF(J297&lt;=90,"61-90","90+")))))</f>
        <v>n/a</v>
      </c>
      <c r="L297" s="12" t="s">
        <v>941</v>
      </c>
    </row>
    <row r="298" spans="1:12">
      <c r="A298" s="12" t="s">
        <v>942</v>
      </c>
      <c r="B298" s="5" t="s">
        <v>650</v>
      </c>
      <c r="C298" s="5" t="s">
        <v>340</v>
      </c>
      <c r="D298" s="12" t="s">
        <v>238</v>
      </c>
      <c r="E298" s="3">
        <v>46131</v>
      </c>
      <c r="F298" s="3">
        <v>46176</v>
      </c>
      <c r="G298" s="6">
        <v>3876.12</v>
      </c>
      <c r="H298" s="5" t="s">
        <v>68</v>
      </c>
      <c r="I298" s="3">
        <v>46187</v>
      </c>
      <c r="J298" s="8">
        <f>AS_OF-F298</f>
        <v>99</v>
      </c>
      <c r="K298" s="5" t="str">
        <f>IF(OR(AND(H298&lt;&gt;"open",H298&lt;&gt;"partial"),G298&lt;=0),"n/a",IF(J298&lt;0,"current",IF(J298&lt;=30,"0-30",IF(J298&lt;=60,"31-60",IF(J298&lt;=90,"61-90","90+")))))</f>
        <v>n/a</v>
      </c>
      <c r="L298" s="12" t="s">
        <v>943</v>
      </c>
    </row>
    <row r="299" spans="1:12">
      <c r="A299" s="12" t="s">
        <v>944</v>
      </c>
      <c r="B299" s="5" t="s">
        <v>369</v>
      </c>
      <c r="C299" s="5" t="s">
        <v>340</v>
      </c>
      <c r="D299" s="12" t="s">
        <v>247</v>
      </c>
      <c r="E299" s="3">
        <v>46147</v>
      </c>
      <c r="F299" s="3">
        <v>46177</v>
      </c>
      <c r="G299" s="6">
        <v>8617.860000000001</v>
      </c>
      <c r="H299" s="5" t="s">
        <v>198</v>
      </c>
      <c r="I299" s="5" t="s">
        <v>150</v>
      </c>
      <c r="J299" s="8">
        <f>AS_OF-F299</f>
        <v>98</v>
      </c>
      <c r="K299" s="5" t="str">
        <f>IF(OR(AND(H299&lt;&gt;"open",H299&lt;&gt;"partial"),G299&lt;=0),"n/a",IF(J299&lt;0,"current",IF(J299&lt;=30,"0-30",IF(J299&lt;=60,"31-60",IF(J299&lt;=90,"61-90","90+")))))</f>
        <v>90+</v>
      </c>
      <c r="L299" s="12" t="s">
        <v>945</v>
      </c>
    </row>
    <row r="300" spans="1:12">
      <c r="A300" s="12" t="s">
        <v>946</v>
      </c>
      <c r="B300" s="5" t="s">
        <v>531</v>
      </c>
      <c r="C300" s="5" t="s">
        <v>375</v>
      </c>
      <c r="D300" s="12" t="s">
        <v>227</v>
      </c>
      <c r="E300" s="3">
        <v>46163</v>
      </c>
      <c r="F300" s="3">
        <v>46178</v>
      </c>
      <c r="G300" s="6">
        <v>4330.8</v>
      </c>
      <c r="H300" s="5" t="s">
        <v>198</v>
      </c>
      <c r="I300" s="5" t="s">
        <v>150</v>
      </c>
      <c r="J300" s="8">
        <f>AS_OF-F300</f>
        <v>97</v>
      </c>
      <c r="K300" s="5" t="str">
        <f>IF(OR(AND(H300&lt;&gt;"open",H300&lt;&gt;"partial"),G300&lt;=0),"n/a",IF(J300&lt;0,"current",IF(J300&lt;=30,"0-30",IF(J300&lt;=60,"31-60",IF(J300&lt;=90,"61-90","90+")))))</f>
        <v>90+</v>
      </c>
      <c r="L300" s="12" t="s">
        <v>947</v>
      </c>
    </row>
    <row r="301" spans="1:12">
      <c r="A301" s="12" t="s">
        <v>948</v>
      </c>
      <c r="B301" s="5" t="s">
        <v>324</v>
      </c>
      <c r="C301" s="5" t="s">
        <v>325</v>
      </c>
      <c r="D301" s="12" t="s">
        <v>252</v>
      </c>
      <c r="E301" s="3">
        <v>46163</v>
      </c>
      <c r="F301" s="3">
        <v>46178</v>
      </c>
      <c r="G301" s="6">
        <v>18875.52</v>
      </c>
      <c r="H301" s="5" t="s">
        <v>68</v>
      </c>
      <c r="I301" s="3">
        <v>46192</v>
      </c>
      <c r="J301" s="8">
        <f>AS_OF-F301</f>
        <v>97</v>
      </c>
      <c r="K301" s="5" t="str">
        <f>IF(OR(AND(H301&lt;&gt;"open",H301&lt;&gt;"partial"),G301&lt;=0),"n/a",IF(J301&lt;0,"current",IF(J301&lt;=30,"0-30",IF(J301&lt;=60,"31-60",IF(J301&lt;=90,"61-90","90+")))))</f>
        <v>n/a</v>
      </c>
      <c r="L301" s="12" t="s">
        <v>949</v>
      </c>
    </row>
    <row r="302" spans="1:12">
      <c r="A302" s="12" t="s">
        <v>950</v>
      </c>
      <c r="B302" s="5" t="s">
        <v>650</v>
      </c>
      <c r="C302" s="5" t="s">
        <v>340</v>
      </c>
      <c r="D302" s="12" t="s">
        <v>212</v>
      </c>
      <c r="E302" s="3">
        <v>46133</v>
      </c>
      <c r="F302" s="3">
        <v>46178</v>
      </c>
      <c r="G302" s="6">
        <v>5524.92</v>
      </c>
      <c r="H302" s="5" t="s">
        <v>68</v>
      </c>
      <c r="I302" s="3">
        <v>46190</v>
      </c>
      <c r="J302" s="8">
        <f>AS_OF-F302</f>
        <v>97</v>
      </c>
      <c r="K302" s="5" t="str">
        <f>IF(OR(AND(H302&lt;&gt;"open",H302&lt;&gt;"partial"),G302&lt;=0),"n/a",IF(J302&lt;0,"current",IF(J302&lt;=30,"0-30",IF(J302&lt;=60,"31-60",IF(J302&lt;=90,"61-90","90+")))))</f>
        <v>n/a</v>
      </c>
      <c r="L302" s="12" t="s">
        <v>951</v>
      </c>
    </row>
    <row r="303" spans="1:12">
      <c r="A303" s="12" t="s">
        <v>952</v>
      </c>
      <c r="B303" s="5" t="s">
        <v>393</v>
      </c>
      <c r="C303" s="5" t="s">
        <v>356</v>
      </c>
      <c r="D303" s="12" t="s">
        <v>252</v>
      </c>
      <c r="E303" s="3">
        <v>46152</v>
      </c>
      <c r="F303" s="3">
        <v>46182</v>
      </c>
      <c r="G303" s="6">
        <v>4696.56</v>
      </c>
      <c r="H303" s="5" t="s">
        <v>68</v>
      </c>
      <c r="I303" s="3">
        <v>46200</v>
      </c>
      <c r="J303" s="8">
        <f>AS_OF-F303</f>
        <v>93</v>
      </c>
      <c r="K303" s="5" t="str">
        <f>IF(OR(AND(H303&lt;&gt;"open",H303&lt;&gt;"partial"),G303&lt;=0),"n/a",IF(J303&lt;0,"current",IF(J303&lt;=30,"0-30",IF(J303&lt;=60,"31-60",IF(J303&lt;=90,"61-90","90+")))))</f>
        <v>n/a</v>
      </c>
      <c r="L303" s="12" t="s">
        <v>953</v>
      </c>
    </row>
    <row r="304" spans="1:12">
      <c r="A304" s="12" t="s">
        <v>954</v>
      </c>
      <c r="B304" s="5" t="s">
        <v>366</v>
      </c>
      <c r="C304" s="5" t="s">
        <v>329</v>
      </c>
      <c r="D304" s="12" t="s">
        <v>227</v>
      </c>
      <c r="E304" s="3">
        <v>46167</v>
      </c>
      <c r="F304" s="3">
        <v>46182</v>
      </c>
      <c r="G304" s="6">
        <v>7020</v>
      </c>
      <c r="H304" s="5" t="s">
        <v>68</v>
      </c>
      <c r="I304" s="3">
        <v>46192</v>
      </c>
      <c r="J304" s="8">
        <f>AS_OF-F304</f>
        <v>93</v>
      </c>
      <c r="K304" s="5" t="str">
        <f>IF(OR(AND(H304&lt;&gt;"open",H304&lt;&gt;"partial"),G304&lt;=0),"n/a",IF(J304&lt;0,"current",IF(J304&lt;=30,"0-30",IF(J304&lt;=60,"31-60",IF(J304&lt;=90,"61-90","90+")))))</f>
        <v>n/a</v>
      </c>
      <c r="L304" s="12" t="s">
        <v>955</v>
      </c>
    </row>
    <row r="305" spans="1:12">
      <c r="A305" s="12" t="s">
        <v>956</v>
      </c>
      <c r="B305" s="5" t="s">
        <v>374</v>
      </c>
      <c r="C305" s="5" t="s">
        <v>375</v>
      </c>
      <c r="D305" s="12" t="s">
        <v>235</v>
      </c>
      <c r="E305" s="3">
        <v>46153</v>
      </c>
      <c r="F305" s="3">
        <v>46183</v>
      </c>
      <c r="G305" s="6">
        <v>3698.64</v>
      </c>
      <c r="H305" s="5" t="s">
        <v>68</v>
      </c>
      <c r="I305" s="3">
        <v>46216</v>
      </c>
      <c r="J305" s="8">
        <f>AS_OF-F305</f>
        <v>92</v>
      </c>
      <c r="K305" s="5" t="str">
        <f>IF(OR(AND(H305&lt;&gt;"open",H305&lt;&gt;"partial"),G305&lt;=0),"n/a",IF(J305&lt;0,"current",IF(J305&lt;=30,"0-30",IF(J305&lt;=60,"31-60",IF(J305&lt;=90,"61-90","90+")))))</f>
        <v>n/a</v>
      </c>
      <c r="L305" s="12" t="s">
        <v>957</v>
      </c>
    </row>
    <row r="306" spans="1:12">
      <c r="A306" s="12" t="s">
        <v>958</v>
      </c>
      <c r="B306" s="5" t="s">
        <v>384</v>
      </c>
      <c r="C306" s="5" t="s">
        <v>375</v>
      </c>
      <c r="D306" s="12" t="s">
        <v>232</v>
      </c>
      <c r="E306" s="3">
        <v>46169</v>
      </c>
      <c r="F306" s="3">
        <v>46184</v>
      </c>
      <c r="G306" s="6">
        <v>5575.68</v>
      </c>
      <c r="H306" s="5" t="s">
        <v>68</v>
      </c>
      <c r="I306" s="3">
        <v>46193</v>
      </c>
      <c r="J306" s="8">
        <f>AS_OF-F306</f>
        <v>91</v>
      </c>
      <c r="K306" s="5" t="str">
        <f>IF(OR(AND(H306&lt;&gt;"open",H306&lt;&gt;"partial"),G306&lt;=0),"n/a",IF(J306&lt;0,"current",IF(J306&lt;=30,"0-30",IF(J306&lt;=60,"31-60",IF(J306&lt;=90,"61-90","90+")))))</f>
        <v>n/a</v>
      </c>
      <c r="L306" s="12" t="s">
        <v>959</v>
      </c>
    </row>
    <row r="307" spans="1:12">
      <c r="A307" s="12" t="s">
        <v>960</v>
      </c>
      <c r="B307" s="5" t="s">
        <v>402</v>
      </c>
      <c r="C307" s="5" t="s">
        <v>329</v>
      </c>
      <c r="D307" s="12" t="s">
        <v>238</v>
      </c>
      <c r="E307" s="3">
        <v>46169</v>
      </c>
      <c r="F307" s="3">
        <v>46184</v>
      </c>
      <c r="G307" s="6">
        <v>10125</v>
      </c>
      <c r="H307" s="5" t="s">
        <v>68</v>
      </c>
      <c r="I307" s="3">
        <v>46199</v>
      </c>
      <c r="J307" s="8">
        <f>AS_OF-F307</f>
        <v>91</v>
      </c>
      <c r="K307" s="5" t="str">
        <f>IF(OR(AND(H307&lt;&gt;"open",H307&lt;&gt;"partial"),G307&lt;=0),"n/a",IF(J307&lt;0,"current",IF(J307&lt;=30,"0-30",IF(J307&lt;=60,"31-60",IF(J307&lt;=90,"61-90","90+")))))</f>
        <v>n/a</v>
      </c>
      <c r="L307" s="12" t="s">
        <v>961</v>
      </c>
    </row>
    <row r="308" spans="1:12">
      <c r="A308" s="12" t="s">
        <v>962</v>
      </c>
      <c r="B308" s="5" t="s">
        <v>396</v>
      </c>
      <c r="C308" s="5" t="s">
        <v>356</v>
      </c>
      <c r="D308" s="12" t="s">
        <v>238</v>
      </c>
      <c r="E308" s="3">
        <v>46155</v>
      </c>
      <c r="F308" s="3">
        <v>46185</v>
      </c>
      <c r="G308" s="6">
        <v>6903.36</v>
      </c>
      <c r="H308" s="5" t="s">
        <v>68</v>
      </c>
      <c r="I308" s="3">
        <v>46202</v>
      </c>
      <c r="J308" s="8">
        <f>AS_OF-F308</f>
        <v>90</v>
      </c>
      <c r="K308" s="5" t="str">
        <f>IF(OR(AND(H308&lt;&gt;"open",H308&lt;&gt;"partial"),G308&lt;=0),"n/a",IF(J308&lt;0,"current",IF(J308&lt;=30,"0-30",IF(J308&lt;=60,"31-60",IF(J308&lt;=90,"61-90","90+")))))</f>
        <v>n/a</v>
      </c>
      <c r="L308" s="12" t="s">
        <v>963</v>
      </c>
    </row>
    <row r="309" spans="1:12">
      <c r="A309" s="12" t="s">
        <v>964</v>
      </c>
      <c r="B309" s="5" t="s">
        <v>324</v>
      </c>
      <c r="C309" s="5" t="s">
        <v>325</v>
      </c>
      <c r="D309" s="12" t="s">
        <v>227</v>
      </c>
      <c r="E309" s="3">
        <v>46170</v>
      </c>
      <c r="F309" s="3">
        <v>46185</v>
      </c>
      <c r="G309" s="6">
        <v>19551.78</v>
      </c>
      <c r="H309" s="5" t="s">
        <v>68</v>
      </c>
      <c r="I309" s="3">
        <v>46210</v>
      </c>
      <c r="J309" s="8">
        <f>AS_OF-F309</f>
        <v>90</v>
      </c>
      <c r="K309" s="5" t="str">
        <f>IF(OR(AND(H309&lt;&gt;"open",H309&lt;&gt;"partial"),G309&lt;=0),"n/a",IF(J309&lt;0,"current",IF(J309&lt;=30,"0-30",IF(J309&lt;=60,"31-60",IF(J309&lt;=90,"61-90","90+")))))</f>
        <v>n/a</v>
      </c>
      <c r="L309" s="12" t="s">
        <v>965</v>
      </c>
    </row>
    <row r="310" spans="1:12">
      <c r="A310" s="12" t="s">
        <v>966</v>
      </c>
      <c r="B310" s="5" t="s">
        <v>402</v>
      </c>
      <c r="C310" s="5" t="s">
        <v>329</v>
      </c>
      <c r="D310" s="12" t="s">
        <v>264</v>
      </c>
      <c r="E310" s="3">
        <v>46172</v>
      </c>
      <c r="F310" s="3">
        <v>46187</v>
      </c>
      <c r="G310" s="6">
        <v>4203.54</v>
      </c>
      <c r="H310" s="5" t="s">
        <v>68</v>
      </c>
      <c r="I310" s="3">
        <v>46203</v>
      </c>
      <c r="J310" s="8">
        <f>AS_OF-F310</f>
        <v>88</v>
      </c>
      <c r="K310" s="5" t="str">
        <f>IF(OR(AND(H310&lt;&gt;"open",H310&lt;&gt;"partial"),G310&lt;=0),"n/a",IF(J310&lt;0,"current",IF(J310&lt;=30,"0-30",IF(J310&lt;=60,"31-60",IF(J310&lt;=90,"61-90","90+")))))</f>
        <v>n/a</v>
      </c>
      <c r="L310" s="12" t="s">
        <v>967</v>
      </c>
    </row>
    <row r="311" spans="1:12">
      <c r="A311" s="12" t="s">
        <v>968</v>
      </c>
      <c r="B311" s="5" t="s">
        <v>366</v>
      </c>
      <c r="C311" s="5" t="s">
        <v>329</v>
      </c>
      <c r="D311" s="12" t="s">
        <v>247</v>
      </c>
      <c r="E311" s="3">
        <v>46173</v>
      </c>
      <c r="F311" s="3">
        <v>46188</v>
      </c>
      <c r="G311" s="6">
        <v>19514.52</v>
      </c>
      <c r="H311" s="5" t="s">
        <v>68</v>
      </c>
      <c r="I311" s="3">
        <v>46201</v>
      </c>
      <c r="J311" s="8">
        <f>AS_OF-F311</f>
        <v>87</v>
      </c>
      <c r="K311" s="5" t="str">
        <f>IF(OR(AND(H311&lt;&gt;"open",H311&lt;&gt;"partial"),G311&lt;=0),"n/a",IF(J311&lt;0,"current",IF(J311&lt;=30,"0-30",IF(J311&lt;=60,"31-60",IF(J311&lt;=90,"61-90","90+")))))</f>
        <v>n/a</v>
      </c>
      <c r="L311" s="12" t="s">
        <v>969</v>
      </c>
    </row>
    <row r="312" spans="1:12">
      <c r="A312" s="12" t="s">
        <v>970</v>
      </c>
      <c r="B312" s="5" t="s">
        <v>346</v>
      </c>
      <c r="C312" s="5" t="s">
        <v>325</v>
      </c>
      <c r="D312" s="12" t="s">
        <v>252</v>
      </c>
      <c r="E312" s="3">
        <v>46182</v>
      </c>
      <c r="F312" s="3">
        <v>46189</v>
      </c>
      <c r="G312" s="6">
        <v>7164.9</v>
      </c>
      <c r="H312" s="5" t="s">
        <v>68</v>
      </c>
      <c r="I312" s="3">
        <v>46196</v>
      </c>
      <c r="J312" s="8">
        <f>AS_OF-F312</f>
        <v>86</v>
      </c>
      <c r="K312" s="5" t="str">
        <f>IF(OR(AND(H312&lt;&gt;"open",H312&lt;&gt;"partial"),G312&lt;=0),"n/a",IF(J312&lt;0,"current",IF(J312&lt;=30,"0-30",IF(J312&lt;=60,"31-60",IF(J312&lt;=90,"61-90","90+")))))</f>
        <v>n/a</v>
      </c>
      <c r="L312" s="12" t="s">
        <v>971</v>
      </c>
    </row>
    <row r="313" spans="1:12">
      <c r="A313" s="12" t="s">
        <v>972</v>
      </c>
      <c r="B313" s="5" t="s">
        <v>339</v>
      </c>
      <c r="C313" s="5" t="s">
        <v>340</v>
      </c>
      <c r="D313" s="12" t="s">
        <v>227</v>
      </c>
      <c r="E313" s="3">
        <v>46164</v>
      </c>
      <c r="F313" s="3">
        <v>46194</v>
      </c>
      <c r="G313" s="6">
        <v>7915.32</v>
      </c>
      <c r="H313" s="5" t="s">
        <v>68</v>
      </c>
      <c r="I313" s="3">
        <v>46203</v>
      </c>
      <c r="J313" s="8">
        <f>AS_OF-F313</f>
        <v>81</v>
      </c>
      <c r="K313" s="5" t="str">
        <f>IF(OR(AND(H313&lt;&gt;"open",H313&lt;&gt;"partial"),G313&lt;=0),"n/a",IF(J313&lt;0,"current",IF(J313&lt;=30,"0-30",IF(J313&lt;=60,"31-60",IF(J313&lt;=90,"61-90","90+")))))</f>
        <v>n/a</v>
      </c>
      <c r="L313" s="12" t="s">
        <v>973</v>
      </c>
    </row>
    <row r="314" spans="1:12">
      <c r="A314" s="12" t="s">
        <v>974</v>
      </c>
      <c r="B314" s="5" t="s">
        <v>374</v>
      </c>
      <c r="C314" s="5" t="s">
        <v>375</v>
      </c>
      <c r="D314" s="12" t="s">
        <v>232</v>
      </c>
      <c r="E314" s="3">
        <v>46165</v>
      </c>
      <c r="F314" s="3">
        <v>46195</v>
      </c>
      <c r="G314" s="6">
        <v>3766.5</v>
      </c>
      <c r="H314" s="5" t="s">
        <v>68</v>
      </c>
      <c r="I314" s="3">
        <v>46216</v>
      </c>
      <c r="J314" s="8">
        <f>AS_OF-F314</f>
        <v>80</v>
      </c>
      <c r="K314" s="5" t="str">
        <f>IF(OR(AND(H314&lt;&gt;"open",H314&lt;&gt;"partial"),G314&lt;=0),"n/a",IF(J314&lt;0,"current",IF(J314&lt;=30,"0-30",IF(J314&lt;=60,"31-60",IF(J314&lt;=90,"61-90","90+")))))</f>
        <v>n/a</v>
      </c>
      <c r="L314" s="12" t="s">
        <v>975</v>
      </c>
    </row>
    <row r="315" spans="1:12">
      <c r="A315" s="12" t="s">
        <v>976</v>
      </c>
      <c r="B315" s="5" t="s">
        <v>443</v>
      </c>
      <c r="C315" s="5" t="s">
        <v>329</v>
      </c>
      <c r="D315" s="12" t="s">
        <v>247</v>
      </c>
      <c r="E315" s="3">
        <v>46180</v>
      </c>
      <c r="F315" s="3">
        <v>46195</v>
      </c>
      <c r="G315" s="6">
        <v>15747.12</v>
      </c>
      <c r="H315" s="5" t="s">
        <v>198</v>
      </c>
      <c r="I315" s="5" t="s">
        <v>150</v>
      </c>
      <c r="J315" s="8">
        <f>AS_OF-F315</f>
        <v>80</v>
      </c>
      <c r="K315" s="5" t="str">
        <f>IF(OR(AND(H315&lt;&gt;"open",H315&lt;&gt;"partial"),G315&lt;=0),"n/a",IF(J315&lt;0,"current",IF(J315&lt;=30,"0-30",IF(J315&lt;=60,"31-60",IF(J315&lt;=90,"61-90","90+")))))</f>
        <v>61-90</v>
      </c>
      <c r="L315" s="12" t="s">
        <v>977</v>
      </c>
    </row>
    <row r="316" spans="1:12">
      <c r="A316" s="12" t="s">
        <v>978</v>
      </c>
      <c r="B316" s="5" t="s">
        <v>346</v>
      </c>
      <c r="C316" s="5" t="s">
        <v>325</v>
      </c>
      <c r="D316" s="12" t="s">
        <v>235</v>
      </c>
      <c r="E316" s="3">
        <v>46188</v>
      </c>
      <c r="F316" s="3">
        <v>46195</v>
      </c>
      <c r="G316" s="6">
        <v>8966.16</v>
      </c>
      <c r="H316" s="5" t="s">
        <v>68</v>
      </c>
      <c r="I316" s="3">
        <v>46223</v>
      </c>
      <c r="J316" s="8">
        <f>AS_OF-F316</f>
        <v>80</v>
      </c>
      <c r="K316" s="5" t="str">
        <f>IF(OR(AND(H316&lt;&gt;"open",H316&lt;&gt;"partial"),G316&lt;=0),"n/a",IF(J316&lt;0,"current",IF(J316&lt;=30,"0-30",IF(J316&lt;=60,"31-60",IF(J316&lt;=90,"61-90","90+")))))</f>
        <v>n/a</v>
      </c>
      <c r="L316" s="12" t="s">
        <v>979</v>
      </c>
    </row>
    <row r="317" spans="1:12">
      <c r="A317" s="12" t="s">
        <v>980</v>
      </c>
      <c r="B317" s="5" t="s">
        <v>399</v>
      </c>
      <c r="C317" s="5" t="s">
        <v>375</v>
      </c>
      <c r="D317" s="12" t="s">
        <v>252</v>
      </c>
      <c r="E317" s="3">
        <v>46181</v>
      </c>
      <c r="F317" s="3">
        <v>46196</v>
      </c>
      <c r="G317" s="6">
        <v>4109.04</v>
      </c>
      <c r="H317" s="5" t="s">
        <v>68</v>
      </c>
      <c r="I317" s="3">
        <v>46209</v>
      </c>
      <c r="J317" s="8">
        <f>AS_OF-F317</f>
        <v>79</v>
      </c>
      <c r="K317" s="5" t="str">
        <f>IF(OR(AND(H317&lt;&gt;"open",H317&lt;&gt;"partial"),G317&lt;=0),"n/a",IF(J317&lt;0,"current",IF(J317&lt;=30,"0-30",IF(J317&lt;=60,"31-60",IF(J317&lt;=90,"61-90","90+")))))</f>
        <v>n/a</v>
      </c>
      <c r="L317" s="12" t="s">
        <v>981</v>
      </c>
    </row>
    <row r="318" spans="1:12">
      <c r="A318" s="12" t="s">
        <v>982</v>
      </c>
      <c r="B318" s="5" t="s">
        <v>366</v>
      </c>
      <c r="C318" s="5" t="s">
        <v>329</v>
      </c>
      <c r="D318" s="12" t="s">
        <v>238</v>
      </c>
      <c r="E318" s="3">
        <v>46181</v>
      </c>
      <c r="F318" s="3">
        <v>46196</v>
      </c>
      <c r="G318" s="6">
        <v>3834.36</v>
      </c>
      <c r="H318" s="5" t="s">
        <v>68</v>
      </c>
      <c r="I318" s="3">
        <v>46212</v>
      </c>
      <c r="J318" s="8">
        <f>AS_OF-F318</f>
        <v>79</v>
      </c>
      <c r="K318" s="5" t="str">
        <f>IF(OR(AND(H318&lt;&gt;"open",H318&lt;&gt;"partial"),G318&lt;=0),"n/a",IF(J318&lt;0,"current",IF(J318&lt;=30,"0-30",IF(J318&lt;=60,"31-60",IF(J318&lt;=90,"61-90","90+")))))</f>
        <v>n/a</v>
      </c>
      <c r="L318" s="12" t="s">
        <v>983</v>
      </c>
    </row>
    <row r="319" spans="1:12">
      <c r="A319" s="12" t="s">
        <v>984</v>
      </c>
      <c r="B319" s="5" t="s">
        <v>369</v>
      </c>
      <c r="C319" s="5" t="s">
        <v>340</v>
      </c>
      <c r="D319" s="12" t="s">
        <v>227</v>
      </c>
      <c r="E319" s="3">
        <v>46166</v>
      </c>
      <c r="F319" s="3">
        <v>46196</v>
      </c>
      <c r="G319" s="6">
        <v>3691.8</v>
      </c>
      <c r="H319" s="5" t="s">
        <v>68</v>
      </c>
      <c r="I319" s="3">
        <v>46204</v>
      </c>
      <c r="J319" s="8">
        <f>AS_OF-F319</f>
        <v>79</v>
      </c>
      <c r="K319" s="5" t="str">
        <f>IF(OR(AND(H319&lt;&gt;"open",H319&lt;&gt;"partial"),G319&lt;=0),"n/a",IF(J319&lt;0,"current",IF(J319&lt;=30,"0-30",IF(J319&lt;=60,"31-60",IF(J319&lt;=90,"61-90","90+")))))</f>
        <v>n/a</v>
      </c>
      <c r="L319" s="12" t="s">
        <v>985</v>
      </c>
    </row>
    <row r="320" spans="1:12">
      <c r="A320" s="12" t="s">
        <v>986</v>
      </c>
      <c r="B320" s="5" t="s">
        <v>374</v>
      </c>
      <c r="C320" s="5" t="s">
        <v>375</v>
      </c>
      <c r="D320" s="12" t="s">
        <v>227</v>
      </c>
      <c r="E320" s="3">
        <v>46168</v>
      </c>
      <c r="F320" s="3">
        <v>46198</v>
      </c>
      <c r="G320" s="6">
        <v>3713.4</v>
      </c>
      <c r="H320" s="5" t="s">
        <v>68</v>
      </c>
      <c r="I320" s="3">
        <v>46210</v>
      </c>
      <c r="J320" s="8">
        <f>AS_OF-F320</f>
        <v>77</v>
      </c>
      <c r="K320" s="5" t="str">
        <f>IF(OR(AND(H320&lt;&gt;"open",H320&lt;&gt;"partial"),G320&lt;=0),"n/a",IF(J320&lt;0,"current",IF(J320&lt;=30,"0-30",IF(J320&lt;=60,"31-60",IF(J320&lt;=90,"61-90","90+")))))</f>
        <v>n/a</v>
      </c>
      <c r="L320" s="12" t="s">
        <v>987</v>
      </c>
    </row>
    <row r="321" spans="1:12">
      <c r="A321" s="12" t="s">
        <v>988</v>
      </c>
      <c r="B321" s="5" t="s">
        <v>531</v>
      </c>
      <c r="C321" s="5" t="s">
        <v>375</v>
      </c>
      <c r="D321" s="12" t="s">
        <v>235</v>
      </c>
      <c r="E321" s="3">
        <v>46186</v>
      </c>
      <c r="F321" s="3">
        <v>46201</v>
      </c>
      <c r="G321" s="6">
        <v>4103.1</v>
      </c>
      <c r="H321" s="5" t="s">
        <v>68</v>
      </c>
      <c r="I321" s="3">
        <v>46209</v>
      </c>
      <c r="J321" s="8">
        <f>AS_OF-F321</f>
        <v>74</v>
      </c>
      <c r="K321" s="5" t="str">
        <f>IF(OR(AND(H321&lt;&gt;"open",H321&lt;&gt;"partial"),G321&lt;=0),"n/a",IF(J321&lt;0,"current",IF(J321&lt;=30,"0-30",IF(J321&lt;=60,"31-60",IF(J321&lt;=90,"61-90","90+")))))</f>
        <v>n/a</v>
      </c>
      <c r="L321" s="12" t="s">
        <v>989</v>
      </c>
    </row>
    <row r="322" spans="1:12">
      <c r="A322" s="12" t="s">
        <v>990</v>
      </c>
      <c r="B322" s="5" t="s">
        <v>384</v>
      </c>
      <c r="C322" s="5" t="s">
        <v>375</v>
      </c>
      <c r="D322" s="12" t="s">
        <v>247</v>
      </c>
      <c r="E322" s="3">
        <v>46186</v>
      </c>
      <c r="F322" s="3">
        <v>46201</v>
      </c>
      <c r="G322" s="6">
        <v>3659.4</v>
      </c>
      <c r="H322" s="5" t="s">
        <v>68</v>
      </c>
      <c r="I322" s="3">
        <v>46219</v>
      </c>
      <c r="J322" s="8">
        <f>AS_OF-F322</f>
        <v>74</v>
      </c>
      <c r="K322" s="5" t="str">
        <f>IF(OR(AND(H322&lt;&gt;"open",H322&lt;&gt;"partial"),G322&lt;=0),"n/a",IF(J322&lt;0,"current",IF(J322&lt;=30,"0-30",IF(J322&lt;=60,"31-60",IF(J322&lt;=90,"61-90","90+")))))</f>
        <v>n/a</v>
      </c>
      <c r="L322" s="12" t="s">
        <v>991</v>
      </c>
    </row>
    <row r="323" spans="1:12">
      <c r="A323" s="12" t="s">
        <v>992</v>
      </c>
      <c r="B323" s="5" t="s">
        <v>396</v>
      </c>
      <c r="C323" s="5" t="s">
        <v>356</v>
      </c>
      <c r="D323" s="12" t="s">
        <v>267</v>
      </c>
      <c r="E323" s="3">
        <v>46173</v>
      </c>
      <c r="F323" s="3">
        <v>46203</v>
      </c>
      <c r="G323" s="6">
        <v>4122.9</v>
      </c>
      <c r="H323" s="5" t="s">
        <v>68</v>
      </c>
      <c r="I323" s="3">
        <v>46222</v>
      </c>
      <c r="J323" s="8">
        <f>AS_OF-F323</f>
        <v>72</v>
      </c>
      <c r="K323" s="5" t="str">
        <f>IF(OR(AND(H323&lt;&gt;"open",H323&lt;&gt;"partial"),G323&lt;=0),"n/a",IF(J323&lt;0,"current",IF(J323&lt;=30,"0-30",IF(J323&lt;=60,"31-60",IF(J323&lt;=90,"61-90","90+")))))</f>
        <v>n/a</v>
      </c>
      <c r="L323" s="12" t="s">
        <v>993</v>
      </c>
    </row>
    <row r="324" spans="1:12">
      <c r="A324" s="12" t="s">
        <v>994</v>
      </c>
      <c r="B324" s="5" t="s">
        <v>349</v>
      </c>
      <c r="C324" s="5" t="s">
        <v>340</v>
      </c>
      <c r="D324" s="12" t="s">
        <v>232</v>
      </c>
      <c r="E324" s="3">
        <v>46173</v>
      </c>
      <c r="F324" s="3">
        <v>46203</v>
      </c>
      <c r="G324" s="6">
        <v>5871.96</v>
      </c>
      <c r="H324" s="5" t="s">
        <v>68</v>
      </c>
      <c r="I324" s="3">
        <v>46221</v>
      </c>
      <c r="J324" s="8">
        <f>AS_OF-F324</f>
        <v>72</v>
      </c>
      <c r="K324" s="5" t="str">
        <f>IF(OR(AND(H324&lt;&gt;"open",H324&lt;&gt;"partial"),G324&lt;=0),"n/a",IF(J324&lt;0,"current",IF(J324&lt;=30,"0-30",IF(J324&lt;=60,"31-60",IF(J324&lt;=90,"61-90","90+")))))</f>
        <v>n/a</v>
      </c>
      <c r="L324" s="12" t="s">
        <v>995</v>
      </c>
    </row>
    <row r="325" spans="1:12">
      <c r="A325" s="12" t="s">
        <v>996</v>
      </c>
      <c r="B325" s="5" t="s">
        <v>339</v>
      </c>
      <c r="C325" s="5" t="s">
        <v>340</v>
      </c>
      <c r="D325" s="12" t="s">
        <v>238</v>
      </c>
      <c r="E325" s="3">
        <v>46173</v>
      </c>
      <c r="F325" s="3">
        <v>46203</v>
      </c>
      <c r="G325" s="6">
        <v>4363.02</v>
      </c>
      <c r="H325" s="5" t="s">
        <v>68</v>
      </c>
      <c r="I325" s="3">
        <v>46213</v>
      </c>
      <c r="J325" s="8">
        <f>AS_OF-F325</f>
        <v>72</v>
      </c>
      <c r="K325" s="5" t="str">
        <f>IF(OR(AND(H325&lt;&gt;"open",H325&lt;&gt;"partial"),G325&lt;=0),"n/a",IF(J325&lt;0,"current",IF(J325&lt;=30,"0-30",IF(J325&lt;=60,"31-60",IF(J325&lt;=90,"61-90","90+")))))</f>
        <v>n/a</v>
      </c>
      <c r="L325" s="12" t="s">
        <v>997</v>
      </c>
    </row>
    <row r="326" spans="1:12">
      <c r="A326" s="12" t="s">
        <v>998</v>
      </c>
      <c r="B326" s="5" t="s">
        <v>346</v>
      </c>
      <c r="C326" s="5" t="s">
        <v>325</v>
      </c>
      <c r="D326" s="12" t="s">
        <v>283</v>
      </c>
      <c r="E326" s="3">
        <v>46197</v>
      </c>
      <c r="F326" s="3">
        <v>46204</v>
      </c>
      <c r="G326" s="6">
        <v>12141.72</v>
      </c>
      <c r="H326" s="5" t="s">
        <v>68</v>
      </c>
      <c r="I326" s="3">
        <v>46218</v>
      </c>
      <c r="J326" s="8">
        <f>AS_OF-F326</f>
        <v>71</v>
      </c>
      <c r="K326" s="5" t="str">
        <f>IF(OR(AND(H326&lt;&gt;"open",H326&lt;&gt;"partial"),G326&lt;=0),"n/a",IF(J326&lt;0,"current",IF(J326&lt;=30,"0-30",IF(J326&lt;=60,"31-60",IF(J326&lt;=90,"61-90","90+")))))</f>
        <v>n/a</v>
      </c>
      <c r="L326" s="12" t="s">
        <v>999</v>
      </c>
    </row>
    <row r="327" spans="1:12">
      <c r="A327" s="12" t="s">
        <v>1000</v>
      </c>
      <c r="B327" s="5" t="s">
        <v>650</v>
      </c>
      <c r="C327" s="5" t="s">
        <v>340</v>
      </c>
      <c r="D327" s="12" t="s">
        <v>252</v>
      </c>
      <c r="E327" s="3">
        <v>46159</v>
      </c>
      <c r="F327" s="3">
        <v>46204</v>
      </c>
      <c r="G327" s="6">
        <v>10816.2</v>
      </c>
      <c r="H327" s="5" t="s">
        <v>68</v>
      </c>
      <c r="I327" s="3">
        <v>46213</v>
      </c>
      <c r="J327" s="8">
        <f>AS_OF-F327</f>
        <v>71</v>
      </c>
      <c r="K327" s="5" t="str">
        <f>IF(OR(AND(H327&lt;&gt;"open",H327&lt;&gt;"partial"),G327&lt;=0),"n/a",IF(J327&lt;0,"current",IF(J327&lt;=30,"0-30",IF(J327&lt;=60,"31-60",IF(J327&lt;=90,"61-90","90+")))))</f>
        <v>n/a</v>
      </c>
      <c r="L327" s="12" t="s">
        <v>1001</v>
      </c>
    </row>
    <row r="328" spans="1:12">
      <c r="A328" s="12" t="s">
        <v>1002</v>
      </c>
      <c r="B328" s="5" t="s">
        <v>324</v>
      </c>
      <c r="C328" s="5" t="s">
        <v>325</v>
      </c>
      <c r="D328" s="12" t="s">
        <v>235</v>
      </c>
      <c r="E328" s="3">
        <v>46190</v>
      </c>
      <c r="F328" s="3">
        <v>46205</v>
      </c>
      <c r="G328" s="6">
        <v>13292.82</v>
      </c>
      <c r="H328" s="5" t="s">
        <v>198</v>
      </c>
      <c r="I328" s="5" t="s">
        <v>150</v>
      </c>
      <c r="J328" s="8">
        <f>AS_OF-F328</f>
        <v>70</v>
      </c>
      <c r="K328" s="5" t="str">
        <f>IF(OR(AND(H328&lt;&gt;"open",H328&lt;&gt;"partial"),G328&lt;=0),"n/a",IF(J328&lt;0,"current",IF(J328&lt;=30,"0-30",IF(J328&lt;=60,"31-60",IF(J328&lt;=90,"61-90","90+")))))</f>
        <v>61-90</v>
      </c>
      <c r="L328" s="12" t="s">
        <v>1003</v>
      </c>
    </row>
    <row r="329" spans="1:12">
      <c r="A329" s="12" t="s">
        <v>1004</v>
      </c>
      <c r="B329" s="5" t="s">
        <v>366</v>
      </c>
      <c r="C329" s="5" t="s">
        <v>329</v>
      </c>
      <c r="D329" s="12" t="s">
        <v>283</v>
      </c>
      <c r="E329" s="3">
        <v>46190</v>
      </c>
      <c r="F329" s="3">
        <v>46205</v>
      </c>
      <c r="G329" s="6">
        <v>19975.5</v>
      </c>
      <c r="H329" s="5" t="s">
        <v>68</v>
      </c>
      <c r="I329" s="3">
        <v>46219</v>
      </c>
      <c r="J329" s="8">
        <f>AS_OF-F329</f>
        <v>70</v>
      </c>
      <c r="K329" s="5" t="str">
        <f>IF(OR(AND(H329&lt;&gt;"open",H329&lt;&gt;"partial"),G329&lt;=0),"n/a",IF(J329&lt;0,"current",IF(J329&lt;=30,"0-30",IF(J329&lt;=60,"31-60",IF(J329&lt;=90,"61-90","90+")))))</f>
        <v>n/a</v>
      </c>
      <c r="L329" s="12" t="s">
        <v>1005</v>
      </c>
    </row>
    <row r="330" spans="1:12">
      <c r="A330" s="12" t="s">
        <v>1006</v>
      </c>
      <c r="B330" s="5" t="s">
        <v>396</v>
      </c>
      <c r="C330" s="5" t="s">
        <v>356</v>
      </c>
      <c r="D330" s="12" t="s">
        <v>238</v>
      </c>
      <c r="E330" s="3">
        <v>46178</v>
      </c>
      <c r="F330" s="3">
        <v>46208</v>
      </c>
      <c r="G330" s="6">
        <v>4011.12</v>
      </c>
      <c r="H330" s="5" t="s">
        <v>68</v>
      </c>
      <c r="I330" s="3">
        <v>46223</v>
      </c>
      <c r="J330" s="8">
        <f>AS_OF-F330</f>
        <v>67</v>
      </c>
      <c r="K330" s="5" t="str">
        <f>IF(OR(AND(H330&lt;&gt;"open",H330&lt;&gt;"partial"),G330&lt;=0),"n/a",IF(J330&lt;0,"current",IF(J330&lt;=30,"0-30",IF(J330&lt;=60,"31-60",IF(J330&lt;=90,"61-90","90+")))))</f>
        <v>n/a</v>
      </c>
      <c r="L330" s="12" t="s">
        <v>1007</v>
      </c>
    </row>
    <row r="331" spans="1:12">
      <c r="A331" s="12" t="s">
        <v>1008</v>
      </c>
      <c r="B331" s="5" t="s">
        <v>405</v>
      </c>
      <c r="C331" s="5" t="s">
        <v>340</v>
      </c>
      <c r="D331" s="12" t="s">
        <v>264</v>
      </c>
      <c r="E331" s="3">
        <v>46179</v>
      </c>
      <c r="F331" s="3">
        <v>46209</v>
      </c>
      <c r="G331" s="6">
        <v>8482.860000000001</v>
      </c>
      <c r="H331" s="5" t="s">
        <v>68</v>
      </c>
      <c r="I331" s="3">
        <v>46221</v>
      </c>
      <c r="J331" s="8">
        <f>AS_OF-F331</f>
        <v>66</v>
      </c>
      <c r="K331" s="5" t="str">
        <f>IF(OR(AND(H331&lt;&gt;"open",H331&lt;&gt;"partial"),G331&lt;=0),"n/a",IF(J331&lt;0,"current",IF(J331&lt;=30,"0-30",IF(J331&lt;=60,"31-60",IF(J331&lt;=90,"61-90","90+")))))</f>
        <v>n/a</v>
      </c>
      <c r="L331" s="12" t="s">
        <v>1009</v>
      </c>
    </row>
    <row r="332" spans="1:12">
      <c r="A332" s="12" t="s">
        <v>1010</v>
      </c>
      <c r="B332" s="5" t="s">
        <v>343</v>
      </c>
      <c r="C332" s="5" t="s">
        <v>329</v>
      </c>
      <c r="D332" s="12" t="s">
        <v>252</v>
      </c>
      <c r="E332" s="3">
        <v>46179</v>
      </c>
      <c r="F332" s="3">
        <v>46209</v>
      </c>
      <c r="G332" s="6">
        <v>7278.3</v>
      </c>
      <c r="H332" s="5" t="s">
        <v>68</v>
      </c>
      <c r="I332" s="3">
        <v>46222</v>
      </c>
      <c r="J332" s="8">
        <f>AS_OF-F332</f>
        <v>66</v>
      </c>
      <c r="K332" s="5" t="str">
        <f>IF(OR(AND(H332&lt;&gt;"open",H332&lt;&gt;"partial"),G332&lt;=0),"n/a",IF(J332&lt;0,"current",IF(J332&lt;=30,"0-30",IF(J332&lt;=60,"31-60",IF(J332&lt;=90,"61-90","90+")))))</f>
        <v>n/a</v>
      </c>
      <c r="L332" s="12" t="s">
        <v>1011</v>
      </c>
    </row>
    <row r="333" spans="1:12">
      <c r="A333" s="12" t="s">
        <v>1012</v>
      </c>
      <c r="B333" s="5" t="s">
        <v>352</v>
      </c>
      <c r="C333" s="5" t="s">
        <v>325</v>
      </c>
      <c r="D333" s="12" t="s">
        <v>267</v>
      </c>
      <c r="E333" s="3">
        <v>46203</v>
      </c>
      <c r="F333" s="3">
        <v>46210</v>
      </c>
      <c r="G333" s="6">
        <v>7829.28</v>
      </c>
      <c r="H333" s="5" t="s">
        <v>68</v>
      </c>
      <c r="I333" s="3">
        <v>46228</v>
      </c>
      <c r="J333" s="8">
        <f>AS_OF-F333</f>
        <v>65</v>
      </c>
      <c r="K333" s="5" t="str">
        <f>IF(OR(AND(H333&lt;&gt;"open",H333&lt;&gt;"partial"),G333&lt;=0),"n/a",IF(J333&lt;0,"current",IF(J333&lt;=30,"0-30",IF(J333&lt;=60,"31-60",IF(J333&lt;=90,"61-90","90+")))))</f>
        <v>n/a</v>
      </c>
      <c r="L333" s="12" t="s">
        <v>1013</v>
      </c>
    </row>
    <row r="334" spans="1:12">
      <c r="A334" s="12" t="s">
        <v>1014</v>
      </c>
      <c r="B334" s="5" t="s">
        <v>410</v>
      </c>
      <c r="C334" s="5" t="s">
        <v>340</v>
      </c>
      <c r="D334" s="12" t="s">
        <v>235</v>
      </c>
      <c r="E334" s="3">
        <v>46180</v>
      </c>
      <c r="F334" s="3">
        <v>46210</v>
      </c>
      <c r="G334" s="6">
        <v>10593.9</v>
      </c>
      <c r="H334" s="5" t="s">
        <v>68</v>
      </c>
      <c r="I334" s="3">
        <v>46220</v>
      </c>
      <c r="J334" s="8">
        <f>AS_OF-F334</f>
        <v>65</v>
      </c>
      <c r="K334" s="5" t="str">
        <f>IF(OR(AND(H334&lt;&gt;"open",H334&lt;&gt;"partial"),G334&lt;=0),"n/a",IF(J334&lt;0,"current",IF(J334&lt;=30,"0-30",IF(J334&lt;=60,"31-60",IF(J334&lt;=90,"61-90","90+")))))</f>
        <v>n/a</v>
      </c>
      <c r="L334" s="12" t="s">
        <v>1015</v>
      </c>
    </row>
    <row r="335" spans="1:12">
      <c r="A335" s="12" t="s">
        <v>1016</v>
      </c>
      <c r="B335" s="5" t="s">
        <v>343</v>
      </c>
      <c r="C335" s="5" t="s">
        <v>329</v>
      </c>
      <c r="D335" s="12" t="s">
        <v>267</v>
      </c>
      <c r="E335" s="3">
        <v>46181</v>
      </c>
      <c r="F335" s="3">
        <v>46211</v>
      </c>
      <c r="G335" s="6">
        <v>20453.4</v>
      </c>
      <c r="H335" s="5" t="s">
        <v>68</v>
      </c>
      <c r="I335" s="3">
        <v>46227</v>
      </c>
      <c r="J335" s="8">
        <f>AS_OF-F335</f>
        <v>64</v>
      </c>
      <c r="K335" s="5" t="str">
        <f>IF(OR(AND(H335&lt;&gt;"open",H335&lt;&gt;"partial"),G335&lt;=0),"n/a",IF(J335&lt;0,"current",IF(J335&lt;=30,"0-30",IF(J335&lt;=60,"31-60",IF(J335&lt;=90,"61-90","90+")))))</f>
        <v>n/a</v>
      </c>
      <c r="L335" s="12" t="s">
        <v>1017</v>
      </c>
    </row>
    <row r="336" spans="1:12">
      <c r="A336" s="12" t="s">
        <v>1018</v>
      </c>
      <c r="B336" s="5" t="s">
        <v>346</v>
      </c>
      <c r="C336" s="5" t="s">
        <v>325</v>
      </c>
      <c r="D336" s="12" t="s">
        <v>264</v>
      </c>
      <c r="E336" s="3">
        <v>46204</v>
      </c>
      <c r="F336" s="3">
        <v>46211</v>
      </c>
      <c r="G336" s="6">
        <v>10530</v>
      </c>
      <c r="H336" s="5" t="s">
        <v>68</v>
      </c>
      <c r="I336" s="3">
        <v>46216</v>
      </c>
      <c r="J336" s="8">
        <f>AS_OF-F336</f>
        <v>64</v>
      </c>
      <c r="K336" s="5" t="str">
        <f>IF(OR(AND(H336&lt;&gt;"open",H336&lt;&gt;"partial"),G336&lt;=0),"n/a",IF(J336&lt;0,"current",IF(J336&lt;=30,"0-30",IF(J336&lt;=60,"31-60",IF(J336&lt;=90,"61-90","90+")))))</f>
        <v>n/a</v>
      </c>
      <c r="L336" s="12" t="s">
        <v>1019</v>
      </c>
    </row>
    <row r="337" spans="1:12">
      <c r="A337" s="12" t="s">
        <v>1020</v>
      </c>
      <c r="B337" s="5" t="s">
        <v>346</v>
      </c>
      <c r="C337" s="5" t="s">
        <v>325</v>
      </c>
      <c r="D337" s="12" t="s">
        <v>247</v>
      </c>
      <c r="E337" s="3">
        <v>46204</v>
      </c>
      <c r="F337" s="3">
        <v>46211</v>
      </c>
      <c r="G337" s="6">
        <v>14675.76</v>
      </c>
      <c r="H337" s="5" t="s">
        <v>68</v>
      </c>
      <c r="I337" s="3">
        <v>46222</v>
      </c>
      <c r="J337" s="8">
        <f>AS_OF-F337</f>
        <v>64</v>
      </c>
      <c r="K337" s="5" t="str">
        <f>IF(OR(AND(H337&lt;&gt;"open",H337&lt;&gt;"partial"),G337&lt;=0),"n/a",IF(J337&lt;0,"current",IF(J337&lt;=30,"0-30",IF(J337&lt;=60,"31-60",IF(J337&lt;=90,"61-90","90+")))))</f>
        <v>n/a</v>
      </c>
      <c r="L337" s="12" t="s">
        <v>1021</v>
      </c>
    </row>
    <row r="338" spans="1:12">
      <c r="A338" s="12" t="s">
        <v>1022</v>
      </c>
      <c r="B338" s="5" t="s">
        <v>384</v>
      </c>
      <c r="C338" s="5" t="s">
        <v>375</v>
      </c>
      <c r="D338" s="12" t="s">
        <v>267</v>
      </c>
      <c r="E338" s="3">
        <v>46198</v>
      </c>
      <c r="F338" s="3">
        <v>46213</v>
      </c>
      <c r="G338" s="6">
        <v>3651.66</v>
      </c>
      <c r="H338" s="5" t="s">
        <v>68</v>
      </c>
      <c r="I338" s="3">
        <v>46231</v>
      </c>
      <c r="J338" s="8">
        <f>AS_OF-F338</f>
        <v>62</v>
      </c>
      <c r="K338" s="5" t="str">
        <f>IF(OR(AND(H338&lt;&gt;"open",H338&lt;&gt;"partial"),G338&lt;=0),"n/a",IF(J338&lt;0,"current",IF(J338&lt;=30,"0-30",IF(J338&lt;=60,"31-60",IF(J338&lt;=90,"61-90","90+")))))</f>
        <v>n/a</v>
      </c>
      <c r="L338" s="12" t="s">
        <v>1023</v>
      </c>
    </row>
    <row r="339" spans="1:12">
      <c r="A339" s="12" t="s">
        <v>1024</v>
      </c>
      <c r="B339" s="5" t="s">
        <v>393</v>
      </c>
      <c r="C339" s="5" t="s">
        <v>356</v>
      </c>
      <c r="D339" s="12" t="s">
        <v>247</v>
      </c>
      <c r="E339" s="3">
        <v>46183</v>
      </c>
      <c r="F339" s="3">
        <v>46213</v>
      </c>
      <c r="G339" s="6">
        <v>4393.08</v>
      </c>
      <c r="H339" s="5" t="s">
        <v>68</v>
      </c>
      <c r="I339" s="3">
        <v>46228</v>
      </c>
      <c r="J339" s="8">
        <f>AS_OF-F339</f>
        <v>62</v>
      </c>
      <c r="K339" s="5" t="str">
        <f>IF(OR(AND(H339&lt;&gt;"open",H339&lt;&gt;"partial"),G339&lt;=0),"n/a",IF(J339&lt;0,"current",IF(J339&lt;=30,"0-30",IF(J339&lt;=60,"31-60",IF(J339&lt;=90,"61-90","90+")))))</f>
        <v>n/a</v>
      </c>
      <c r="L339" s="12" t="s">
        <v>1025</v>
      </c>
    </row>
    <row r="340" spans="1:12">
      <c r="A340" s="12" t="s">
        <v>1026</v>
      </c>
      <c r="B340" s="5" t="s">
        <v>339</v>
      </c>
      <c r="C340" s="5" t="s">
        <v>340</v>
      </c>
      <c r="D340" s="12" t="s">
        <v>252</v>
      </c>
      <c r="E340" s="3">
        <v>46185</v>
      </c>
      <c r="F340" s="3">
        <v>46215</v>
      </c>
      <c r="G340" s="6">
        <v>6960.6</v>
      </c>
      <c r="H340" s="5" t="s">
        <v>68</v>
      </c>
      <c r="I340" s="3">
        <v>46223</v>
      </c>
      <c r="J340" s="8">
        <f>AS_OF-F340</f>
        <v>60</v>
      </c>
      <c r="K340" s="5" t="str">
        <f>IF(OR(AND(H340&lt;&gt;"open",H340&lt;&gt;"partial"),G340&lt;=0),"n/a",IF(J340&lt;0,"current",IF(J340&lt;=30,"0-30",IF(J340&lt;=60,"31-60",IF(J340&lt;=90,"61-90","90+")))))</f>
        <v>n/a</v>
      </c>
      <c r="L340" s="12" t="s">
        <v>1027</v>
      </c>
    </row>
    <row r="341" spans="1:12">
      <c r="A341" s="12" t="s">
        <v>1028</v>
      </c>
      <c r="B341" s="5" t="s">
        <v>339</v>
      </c>
      <c r="C341" s="5" t="s">
        <v>340</v>
      </c>
      <c r="D341" s="12" t="s">
        <v>235</v>
      </c>
      <c r="E341" s="3">
        <v>46185</v>
      </c>
      <c r="F341" s="3">
        <v>46215</v>
      </c>
      <c r="G341" s="6">
        <v>12153.06</v>
      </c>
      <c r="H341" s="5" t="s">
        <v>68</v>
      </c>
      <c r="I341" s="3">
        <v>46235</v>
      </c>
      <c r="J341" s="8">
        <f>AS_OF-F341</f>
        <v>60</v>
      </c>
      <c r="K341" s="5" t="str">
        <f>IF(OR(AND(H341&lt;&gt;"open",H341&lt;&gt;"partial"),G341&lt;=0),"n/a",IF(J341&lt;0,"current",IF(J341&lt;=30,"0-30",IF(J341&lt;=60,"31-60",IF(J341&lt;=90,"61-90","90+")))))</f>
        <v>n/a</v>
      </c>
      <c r="L341" s="12" t="s">
        <v>1029</v>
      </c>
    </row>
    <row r="342" spans="1:12">
      <c r="A342" s="12" t="s">
        <v>1030</v>
      </c>
      <c r="B342" s="5" t="s">
        <v>324</v>
      </c>
      <c r="C342" s="5" t="s">
        <v>325</v>
      </c>
      <c r="D342" s="12" t="s">
        <v>267</v>
      </c>
      <c r="E342" s="3">
        <v>46200</v>
      </c>
      <c r="F342" s="3">
        <v>46215</v>
      </c>
      <c r="G342" s="6">
        <v>24340.32</v>
      </c>
      <c r="H342" s="5" t="s">
        <v>68</v>
      </c>
      <c r="I342" s="3">
        <v>46224</v>
      </c>
      <c r="J342" s="8">
        <f>AS_OF-F342</f>
        <v>60</v>
      </c>
      <c r="K342" s="5" t="str">
        <f>IF(OR(AND(H342&lt;&gt;"open",H342&lt;&gt;"partial"),G342&lt;=0),"n/a",IF(J342&lt;0,"current",IF(J342&lt;=30,"0-30",IF(J342&lt;=60,"31-60",IF(J342&lt;=90,"61-90","90+")))))</f>
        <v>n/a</v>
      </c>
      <c r="L342" s="12" t="s">
        <v>1031</v>
      </c>
    </row>
    <row r="343" spans="1:12">
      <c r="A343" s="12" t="s">
        <v>1032</v>
      </c>
      <c r="B343" s="5" t="s">
        <v>405</v>
      </c>
      <c r="C343" s="5" t="s">
        <v>340</v>
      </c>
      <c r="D343" s="12" t="s">
        <v>267</v>
      </c>
      <c r="E343" s="3">
        <v>46185</v>
      </c>
      <c r="F343" s="3">
        <v>46215</v>
      </c>
      <c r="G343" s="6">
        <v>4185</v>
      </c>
      <c r="H343" s="5" t="s">
        <v>68</v>
      </c>
      <c r="I343" s="3">
        <v>46229</v>
      </c>
      <c r="J343" s="8">
        <f>AS_OF-F343</f>
        <v>60</v>
      </c>
      <c r="K343" s="5" t="str">
        <f>IF(OR(AND(H343&lt;&gt;"open",H343&lt;&gt;"partial"),G343&lt;=0),"n/a",IF(J343&lt;0,"current",IF(J343&lt;=30,"0-30",IF(J343&lt;=60,"31-60",IF(J343&lt;=90,"61-90","90+")))))</f>
        <v>n/a</v>
      </c>
      <c r="L343" s="12" t="s">
        <v>1033</v>
      </c>
    </row>
    <row r="344" spans="1:12">
      <c r="A344" s="12" t="s">
        <v>1034</v>
      </c>
      <c r="B344" s="5" t="s">
        <v>332</v>
      </c>
      <c r="C344" s="5" t="s">
        <v>325</v>
      </c>
      <c r="D344" s="12" t="s">
        <v>283</v>
      </c>
      <c r="E344" s="3">
        <v>46202</v>
      </c>
      <c r="F344" s="3">
        <v>46217</v>
      </c>
      <c r="G344" s="6">
        <v>22670.64</v>
      </c>
      <c r="H344" s="5" t="s">
        <v>68</v>
      </c>
      <c r="I344" s="3">
        <v>46230</v>
      </c>
      <c r="J344" s="8">
        <f>AS_OF-F344</f>
        <v>58</v>
      </c>
      <c r="K344" s="5" t="str">
        <f>IF(OR(AND(H344&lt;&gt;"open",H344&lt;&gt;"partial"),G344&lt;=0),"n/a",IF(J344&lt;0,"current",IF(J344&lt;=30,"0-30",IF(J344&lt;=60,"31-60",IF(J344&lt;=90,"61-90","90+")))))</f>
        <v>n/a</v>
      </c>
      <c r="L344" s="12" t="s">
        <v>1035</v>
      </c>
    </row>
    <row r="345" spans="1:12">
      <c r="A345" s="12" t="s">
        <v>1036</v>
      </c>
      <c r="B345" s="5" t="s">
        <v>531</v>
      </c>
      <c r="C345" s="5" t="s">
        <v>375</v>
      </c>
      <c r="D345" s="12" t="s">
        <v>247</v>
      </c>
      <c r="E345" s="3">
        <v>46202</v>
      </c>
      <c r="F345" s="3">
        <v>46217</v>
      </c>
      <c r="G345" s="6">
        <v>5086.8</v>
      </c>
      <c r="H345" s="5" t="s">
        <v>68</v>
      </c>
      <c r="I345" s="3">
        <v>46233</v>
      </c>
      <c r="J345" s="8">
        <f>AS_OF-F345</f>
        <v>58</v>
      </c>
      <c r="K345" s="5" t="str">
        <f>IF(OR(AND(H345&lt;&gt;"open",H345&lt;&gt;"partial"),G345&lt;=0),"n/a",IF(J345&lt;0,"current",IF(J345&lt;=30,"0-30",IF(J345&lt;=60,"31-60",IF(J345&lt;=90,"61-90","90+")))))</f>
        <v>n/a</v>
      </c>
      <c r="L345" s="12" t="s">
        <v>1037</v>
      </c>
    </row>
    <row r="346" spans="1:12">
      <c r="A346" s="12" t="s">
        <v>1038</v>
      </c>
      <c r="B346" s="5" t="s">
        <v>346</v>
      </c>
      <c r="C346" s="5" t="s">
        <v>325</v>
      </c>
      <c r="D346" s="12" t="s">
        <v>289</v>
      </c>
      <c r="E346" s="3">
        <v>46210</v>
      </c>
      <c r="F346" s="3">
        <v>46217</v>
      </c>
      <c r="G346" s="6">
        <v>17647.38</v>
      </c>
      <c r="H346" s="5" t="s">
        <v>198</v>
      </c>
      <c r="I346" s="5" t="s">
        <v>150</v>
      </c>
      <c r="J346" s="8">
        <f>AS_OF-F346</f>
        <v>58</v>
      </c>
      <c r="K346" s="5" t="str">
        <f>IF(OR(AND(H346&lt;&gt;"open",H346&lt;&gt;"partial"),G346&lt;=0),"n/a",IF(J346&lt;0,"current",IF(J346&lt;=30,"0-30",IF(J346&lt;=60,"31-60",IF(J346&lt;=90,"61-90","90+")))))</f>
        <v>31-60</v>
      </c>
      <c r="L346" s="12" t="s">
        <v>1039</v>
      </c>
    </row>
    <row r="347" spans="1:12">
      <c r="A347" s="12" t="s">
        <v>1040</v>
      </c>
      <c r="B347" s="5" t="s">
        <v>328</v>
      </c>
      <c r="C347" s="5" t="s">
        <v>329</v>
      </c>
      <c r="D347" s="12" t="s">
        <v>264</v>
      </c>
      <c r="E347" s="3">
        <v>46203</v>
      </c>
      <c r="F347" s="3">
        <v>46218</v>
      </c>
      <c r="G347" s="6">
        <v>9290.700000000001</v>
      </c>
      <c r="H347" s="5" t="s">
        <v>198</v>
      </c>
      <c r="I347" s="5" t="s">
        <v>150</v>
      </c>
      <c r="J347" s="8">
        <f>AS_OF-F347</f>
        <v>57</v>
      </c>
      <c r="K347" s="5" t="str">
        <f>IF(OR(AND(H347&lt;&gt;"open",H347&lt;&gt;"partial"),G347&lt;=0),"n/a",IF(J347&lt;0,"current",IF(J347&lt;=30,"0-30",IF(J347&lt;=60,"31-60",IF(J347&lt;=90,"61-90","90+")))))</f>
        <v>31-60</v>
      </c>
      <c r="L347" s="12" t="s">
        <v>1041</v>
      </c>
    </row>
    <row r="348" spans="1:12">
      <c r="A348" s="12" t="s">
        <v>1042</v>
      </c>
      <c r="B348" s="5" t="s">
        <v>543</v>
      </c>
      <c r="C348" s="5" t="s">
        <v>329</v>
      </c>
      <c r="D348" s="12" t="s">
        <v>252</v>
      </c>
      <c r="E348" s="3">
        <v>46188</v>
      </c>
      <c r="F348" s="3">
        <v>46218</v>
      </c>
      <c r="G348" s="6">
        <v>8629.200000000001</v>
      </c>
      <c r="H348" s="5" t="s">
        <v>68</v>
      </c>
      <c r="I348" s="3">
        <v>46230</v>
      </c>
      <c r="J348" s="8">
        <f>AS_OF-F348</f>
        <v>57</v>
      </c>
      <c r="K348" s="5" t="str">
        <f>IF(OR(AND(H348&lt;&gt;"open",H348&lt;&gt;"partial"),G348&lt;=0),"n/a",IF(J348&lt;0,"current",IF(J348&lt;=30,"0-30",IF(J348&lt;=60,"31-60",IF(J348&lt;=90,"61-90","90+")))))</f>
        <v>n/a</v>
      </c>
      <c r="L348" s="12" t="s">
        <v>1043</v>
      </c>
    </row>
    <row r="349" spans="1:12">
      <c r="A349" s="12" t="s">
        <v>1044</v>
      </c>
      <c r="B349" s="5" t="s">
        <v>346</v>
      </c>
      <c r="C349" s="5" t="s">
        <v>325</v>
      </c>
      <c r="D349" s="12" t="s">
        <v>264</v>
      </c>
      <c r="E349" s="3">
        <v>46211</v>
      </c>
      <c r="F349" s="3">
        <v>46218</v>
      </c>
      <c r="G349" s="6">
        <v>17157.42</v>
      </c>
      <c r="H349" s="5" t="s">
        <v>68</v>
      </c>
      <c r="I349" s="3">
        <v>46237</v>
      </c>
      <c r="J349" s="8">
        <f>AS_OF-F349</f>
        <v>57</v>
      </c>
      <c r="K349" s="5" t="str">
        <f>IF(OR(AND(H349&lt;&gt;"open",H349&lt;&gt;"partial"),G349&lt;=0),"n/a",IF(J349&lt;0,"current",IF(J349&lt;=30,"0-30",IF(J349&lt;=60,"31-60",IF(J349&lt;=90,"61-90","90+")))))</f>
        <v>n/a</v>
      </c>
      <c r="L349" s="12" t="s">
        <v>1045</v>
      </c>
    </row>
    <row r="350" spans="1:12">
      <c r="A350" s="12" t="s">
        <v>1046</v>
      </c>
      <c r="B350" s="5" t="s">
        <v>355</v>
      </c>
      <c r="C350" s="5" t="s">
        <v>356</v>
      </c>
      <c r="D350" s="12" t="s">
        <v>267</v>
      </c>
      <c r="E350" s="3">
        <v>46207</v>
      </c>
      <c r="F350" s="3">
        <v>46222</v>
      </c>
      <c r="G350" s="6">
        <v>8312.219999999999</v>
      </c>
      <c r="H350" s="5" t="s">
        <v>68</v>
      </c>
      <c r="I350" s="3">
        <v>46233</v>
      </c>
      <c r="J350" s="8">
        <f>AS_OF-F350</f>
        <v>53</v>
      </c>
      <c r="K350" s="5" t="str">
        <f>IF(OR(AND(H350&lt;&gt;"open",H350&lt;&gt;"partial"),G350&lt;=0),"n/a",IF(J350&lt;0,"current",IF(J350&lt;=30,"0-30",IF(J350&lt;=60,"31-60",IF(J350&lt;=90,"61-90","90+")))))</f>
        <v>n/a</v>
      </c>
      <c r="L350" s="12" t="s">
        <v>1047</v>
      </c>
    </row>
    <row r="351" spans="1:12">
      <c r="A351" s="12" t="s">
        <v>1048</v>
      </c>
      <c r="B351" s="5" t="s">
        <v>543</v>
      </c>
      <c r="C351" s="5" t="s">
        <v>329</v>
      </c>
      <c r="D351" s="12" t="s">
        <v>235</v>
      </c>
      <c r="E351" s="3">
        <v>46193</v>
      </c>
      <c r="F351" s="3">
        <v>46223</v>
      </c>
      <c r="G351" s="6">
        <v>13614.48</v>
      </c>
      <c r="H351" s="5" t="s">
        <v>68</v>
      </c>
      <c r="I351" s="3">
        <v>46231</v>
      </c>
      <c r="J351" s="8">
        <f>AS_OF-F351</f>
        <v>52</v>
      </c>
      <c r="K351" s="5" t="str">
        <f>IF(OR(AND(H351&lt;&gt;"open",H351&lt;&gt;"partial"),G351&lt;=0),"n/a",IF(J351&lt;0,"current",IF(J351&lt;=30,"0-30",IF(J351&lt;=60,"31-60",IF(J351&lt;=90,"61-90","90+")))))</f>
        <v>n/a</v>
      </c>
      <c r="L351" s="12" t="s">
        <v>1049</v>
      </c>
    </row>
    <row r="352" spans="1:12">
      <c r="A352" s="12" t="s">
        <v>1050</v>
      </c>
      <c r="B352" s="5" t="s">
        <v>531</v>
      </c>
      <c r="C352" s="5" t="s">
        <v>375</v>
      </c>
      <c r="D352" s="12" t="s">
        <v>264</v>
      </c>
      <c r="E352" s="3">
        <v>46210</v>
      </c>
      <c r="F352" s="3">
        <v>46225</v>
      </c>
      <c r="G352" s="6">
        <v>4004.64</v>
      </c>
      <c r="H352" s="5" t="s">
        <v>68</v>
      </c>
      <c r="I352" s="3">
        <v>46232</v>
      </c>
      <c r="J352" s="8">
        <f>AS_OF-F352</f>
        <v>50</v>
      </c>
      <c r="K352" s="5" t="str">
        <f>IF(OR(AND(H352&lt;&gt;"open",H352&lt;&gt;"partial"),G352&lt;=0),"n/a",IF(J352&lt;0,"current",IF(J352&lt;=30,"0-30",IF(J352&lt;=60,"31-60",IF(J352&lt;=90,"61-90","90+")))))</f>
        <v>n/a</v>
      </c>
      <c r="L352" s="12" t="s">
        <v>1051</v>
      </c>
    </row>
    <row r="353" spans="1:12">
      <c r="A353" s="12" t="s">
        <v>1052</v>
      </c>
      <c r="B353" s="5" t="s">
        <v>396</v>
      </c>
      <c r="C353" s="5" t="s">
        <v>356</v>
      </c>
      <c r="D353" s="12" t="s">
        <v>247</v>
      </c>
      <c r="E353" s="3">
        <v>46198</v>
      </c>
      <c r="F353" s="3">
        <v>46228</v>
      </c>
      <c r="G353" s="6">
        <v>7323.12</v>
      </c>
      <c r="H353" s="5" t="s">
        <v>68</v>
      </c>
      <c r="I353" s="3">
        <v>46244</v>
      </c>
      <c r="J353" s="8">
        <f>AS_OF-F353</f>
        <v>47</v>
      </c>
      <c r="K353" s="5" t="str">
        <f>IF(OR(AND(H353&lt;&gt;"open",H353&lt;&gt;"partial"),G353&lt;=0),"n/a",IF(J353&lt;0,"current",IF(J353&lt;=30,"0-30",IF(J353&lt;=60,"31-60",IF(J353&lt;=90,"61-90","90+")))))</f>
        <v>n/a</v>
      </c>
      <c r="L353" s="12" t="s">
        <v>1053</v>
      </c>
    </row>
    <row r="354" spans="1:12">
      <c r="A354" s="12" t="s">
        <v>1054</v>
      </c>
      <c r="B354" s="5" t="s">
        <v>355</v>
      </c>
      <c r="C354" s="5" t="s">
        <v>356</v>
      </c>
      <c r="D354" s="12" t="s">
        <v>289</v>
      </c>
      <c r="E354" s="3">
        <v>46214</v>
      </c>
      <c r="F354" s="3">
        <v>46229</v>
      </c>
      <c r="G354" s="6">
        <v>3625.2</v>
      </c>
      <c r="H354" s="5" t="s">
        <v>68</v>
      </c>
      <c r="I354" s="3">
        <v>46244</v>
      </c>
      <c r="J354" s="8">
        <f>AS_OF-F354</f>
        <v>46</v>
      </c>
      <c r="K354" s="5" t="str">
        <f>IF(OR(AND(H354&lt;&gt;"open",H354&lt;&gt;"partial"),G354&lt;=0),"n/a",IF(J354&lt;0,"current",IF(J354&lt;=30,"0-30",IF(J354&lt;=60,"31-60",IF(J354&lt;=90,"61-90","90+")))))</f>
        <v>n/a</v>
      </c>
      <c r="L354" s="12" t="s">
        <v>1055</v>
      </c>
    </row>
    <row r="355" spans="1:12">
      <c r="A355" s="12" t="s">
        <v>1056</v>
      </c>
      <c r="B355" s="5" t="s">
        <v>443</v>
      </c>
      <c r="C355" s="5" t="s">
        <v>329</v>
      </c>
      <c r="D355" s="12" t="s">
        <v>289</v>
      </c>
      <c r="E355" s="3">
        <v>46215</v>
      </c>
      <c r="F355" s="3">
        <v>46230</v>
      </c>
      <c r="G355" s="6">
        <v>12817.62</v>
      </c>
      <c r="H355" s="5" t="s">
        <v>68</v>
      </c>
      <c r="I355" s="3">
        <v>46238</v>
      </c>
      <c r="J355" s="8">
        <f>AS_OF-F355</f>
        <v>45</v>
      </c>
      <c r="K355" s="5" t="str">
        <f>IF(OR(AND(H355&lt;&gt;"open",H355&lt;&gt;"partial"),G355&lt;=0),"n/a",IF(J355&lt;0,"current",IF(J355&lt;=30,"0-30",IF(J355&lt;=60,"31-60",IF(J355&lt;=90,"61-90","90+")))))</f>
        <v>n/a</v>
      </c>
      <c r="L355" s="12" t="s">
        <v>1057</v>
      </c>
    </row>
    <row r="356" spans="1:12">
      <c r="A356" s="12" t="s">
        <v>1058</v>
      </c>
      <c r="B356" s="5" t="s">
        <v>393</v>
      </c>
      <c r="C356" s="5" t="s">
        <v>356</v>
      </c>
      <c r="D356" s="12" t="s">
        <v>252</v>
      </c>
      <c r="E356" s="3">
        <v>46200</v>
      </c>
      <c r="F356" s="3">
        <v>46230</v>
      </c>
      <c r="G356" s="6">
        <v>4599.72</v>
      </c>
      <c r="H356" s="5" t="s">
        <v>68</v>
      </c>
      <c r="I356" s="3">
        <v>46239</v>
      </c>
      <c r="J356" s="8">
        <f>AS_OF-F356</f>
        <v>45</v>
      </c>
      <c r="K356" s="5" t="str">
        <f>IF(OR(AND(H356&lt;&gt;"open",H356&lt;&gt;"partial"),G356&lt;=0),"n/a",IF(J356&lt;0,"current",IF(J356&lt;=30,"0-30",IF(J356&lt;=60,"31-60",IF(J356&lt;=90,"61-90","90+")))))</f>
        <v>n/a</v>
      </c>
      <c r="L356" s="12" t="s">
        <v>1059</v>
      </c>
    </row>
    <row r="357" spans="1:12">
      <c r="A357" s="12" t="s">
        <v>1060</v>
      </c>
      <c r="B357" s="5" t="s">
        <v>374</v>
      </c>
      <c r="C357" s="5" t="s">
        <v>375</v>
      </c>
      <c r="D357" s="12" t="s">
        <v>252</v>
      </c>
      <c r="E357" s="3">
        <v>46202</v>
      </c>
      <c r="F357" s="3">
        <v>46232</v>
      </c>
      <c r="G357" s="6">
        <v>4381.38</v>
      </c>
      <c r="H357" s="5" t="s">
        <v>68</v>
      </c>
      <c r="I357" s="3">
        <v>46254</v>
      </c>
      <c r="J357" s="8">
        <f>AS_OF-F357</f>
        <v>43</v>
      </c>
      <c r="K357" s="5" t="str">
        <f>IF(OR(AND(H357&lt;&gt;"open",H357&lt;&gt;"partial"),G357&lt;=0),"n/a",IF(J357&lt;0,"current",IF(J357&lt;=30,"0-30",IF(J357&lt;=60,"31-60",IF(J357&lt;=90,"61-90","90+")))))</f>
        <v>n/a</v>
      </c>
      <c r="L357" s="12" t="s">
        <v>1061</v>
      </c>
    </row>
    <row r="358" spans="1:12">
      <c r="A358" s="12" t="s">
        <v>1062</v>
      </c>
      <c r="B358" s="5" t="s">
        <v>443</v>
      </c>
      <c r="C358" s="5" t="s">
        <v>329</v>
      </c>
      <c r="D358" s="12" t="s">
        <v>264</v>
      </c>
      <c r="E358" s="3">
        <v>46218</v>
      </c>
      <c r="F358" s="3">
        <v>46233</v>
      </c>
      <c r="G358" s="6">
        <v>14218.2</v>
      </c>
      <c r="H358" s="5" t="s">
        <v>68</v>
      </c>
      <c r="I358" s="3">
        <v>46250</v>
      </c>
      <c r="J358" s="8">
        <f>AS_OF-F358</f>
        <v>42</v>
      </c>
      <c r="K358" s="5" t="str">
        <f>IF(OR(AND(H358&lt;&gt;"open",H358&lt;&gt;"partial"),G358&lt;=0),"n/a",IF(J358&lt;0,"current",IF(J358&lt;=30,"0-30",IF(J358&lt;=60,"31-60",IF(J358&lt;=90,"61-90","90+")))))</f>
        <v>n/a</v>
      </c>
      <c r="L358" s="12" t="s">
        <v>1063</v>
      </c>
    </row>
    <row r="359" spans="1:12">
      <c r="A359" s="12" t="s">
        <v>1064</v>
      </c>
      <c r="B359" s="5" t="s">
        <v>328</v>
      </c>
      <c r="C359" s="5" t="s">
        <v>329</v>
      </c>
      <c r="D359" s="12" t="s">
        <v>267</v>
      </c>
      <c r="E359" s="3">
        <v>46219</v>
      </c>
      <c r="F359" s="3">
        <v>46234</v>
      </c>
      <c r="G359" s="6">
        <v>23500.8</v>
      </c>
      <c r="H359" s="5" t="s">
        <v>68</v>
      </c>
      <c r="I359" s="3">
        <v>46247</v>
      </c>
      <c r="J359" s="8">
        <f>AS_OF-F359</f>
        <v>41</v>
      </c>
      <c r="K359" s="5" t="str">
        <f>IF(OR(AND(H359&lt;&gt;"open",H359&lt;&gt;"partial"),G359&lt;=0),"n/a",IF(J359&lt;0,"current",IF(J359&lt;=30,"0-30",IF(J359&lt;=60,"31-60",IF(J359&lt;=90,"61-90","90+")))))</f>
        <v>n/a</v>
      </c>
      <c r="L359" s="12" t="s">
        <v>1065</v>
      </c>
    </row>
    <row r="360" spans="1:12">
      <c r="A360" s="12" t="s">
        <v>1066</v>
      </c>
      <c r="B360" s="5" t="s">
        <v>405</v>
      </c>
      <c r="C360" s="5" t="s">
        <v>340</v>
      </c>
      <c r="D360" s="12" t="s">
        <v>264</v>
      </c>
      <c r="E360" s="3">
        <v>46206</v>
      </c>
      <c r="F360" s="3">
        <v>46236</v>
      </c>
      <c r="G360" s="6">
        <v>7320.42</v>
      </c>
      <c r="H360" s="5" t="s">
        <v>198</v>
      </c>
      <c r="I360" s="5" t="s">
        <v>150</v>
      </c>
      <c r="J360" s="8">
        <f>AS_OF-F360</f>
        <v>39</v>
      </c>
      <c r="K360" s="5" t="str">
        <f>IF(OR(AND(H360&lt;&gt;"open",H360&lt;&gt;"partial"),G360&lt;=0),"n/a",IF(J360&lt;0,"current",IF(J360&lt;=30,"0-30",IF(J360&lt;=60,"31-60",IF(J360&lt;=90,"61-90","90+")))))</f>
        <v>31-60</v>
      </c>
      <c r="L360" s="12" t="s">
        <v>1067</v>
      </c>
    </row>
    <row r="361" spans="1:12">
      <c r="A361" s="12" t="s">
        <v>1068</v>
      </c>
      <c r="B361" s="5" t="s">
        <v>446</v>
      </c>
      <c r="C361" s="5" t="s">
        <v>356</v>
      </c>
      <c r="D361" s="12" t="s">
        <v>272</v>
      </c>
      <c r="E361" s="3">
        <v>46206</v>
      </c>
      <c r="F361" s="3">
        <v>46236</v>
      </c>
      <c r="G361" s="6">
        <v>3902.4</v>
      </c>
      <c r="H361" s="5" t="s">
        <v>68</v>
      </c>
      <c r="I361" s="3">
        <v>46245</v>
      </c>
      <c r="J361" s="8">
        <f>AS_OF-F361</f>
        <v>39</v>
      </c>
      <c r="K361" s="5" t="str">
        <f>IF(OR(AND(H361&lt;&gt;"open",H361&lt;&gt;"partial"),G361&lt;=0),"n/a",IF(J361&lt;0,"current",IF(J361&lt;=30,"0-30",IF(J361&lt;=60,"31-60",IF(J361&lt;=90,"61-90","90+")))))</f>
        <v>n/a</v>
      </c>
      <c r="L361" s="12" t="s">
        <v>1069</v>
      </c>
    </row>
    <row r="362" spans="1:12">
      <c r="A362" s="12" t="s">
        <v>1070</v>
      </c>
      <c r="B362" s="5" t="s">
        <v>410</v>
      </c>
      <c r="C362" s="5" t="s">
        <v>340</v>
      </c>
      <c r="D362" s="12" t="s">
        <v>247</v>
      </c>
      <c r="E362" s="3">
        <v>46207</v>
      </c>
      <c r="F362" s="3">
        <v>46237</v>
      </c>
      <c r="G362" s="6">
        <v>10136.7</v>
      </c>
      <c r="H362" s="5" t="s">
        <v>68</v>
      </c>
      <c r="I362" s="3">
        <v>46253</v>
      </c>
      <c r="J362" s="8">
        <f>AS_OF-F362</f>
        <v>38</v>
      </c>
      <c r="K362" s="5" t="str">
        <f>IF(OR(AND(H362&lt;&gt;"open",H362&lt;&gt;"partial"),G362&lt;=0),"n/a",IF(J362&lt;0,"current",IF(J362&lt;=30,"0-30",IF(J362&lt;=60,"31-60",IF(J362&lt;=90,"61-90","90+")))))</f>
        <v>n/a</v>
      </c>
      <c r="L362" s="12" t="s">
        <v>1071</v>
      </c>
    </row>
    <row r="363" spans="1:12">
      <c r="A363" s="12" t="s">
        <v>1072</v>
      </c>
      <c r="B363" s="5" t="s">
        <v>543</v>
      </c>
      <c r="C363" s="5" t="s">
        <v>329</v>
      </c>
      <c r="D363" s="12" t="s">
        <v>272</v>
      </c>
      <c r="E363" s="3">
        <v>46208</v>
      </c>
      <c r="F363" s="3">
        <v>46238</v>
      </c>
      <c r="G363" s="6">
        <v>8317.440000000001</v>
      </c>
      <c r="H363" s="5" t="s">
        <v>68</v>
      </c>
      <c r="I363" s="3">
        <v>46259</v>
      </c>
      <c r="J363" s="8">
        <f>AS_OF-F363</f>
        <v>37</v>
      </c>
      <c r="K363" s="5" t="str">
        <f>IF(OR(AND(H363&lt;&gt;"open",H363&lt;&gt;"partial"),G363&lt;=0),"n/a",IF(J363&lt;0,"current",IF(J363&lt;=30,"0-30",IF(J363&lt;=60,"31-60",IF(J363&lt;=90,"61-90","90+")))))</f>
        <v>n/a</v>
      </c>
      <c r="L363" s="12" t="s">
        <v>1073</v>
      </c>
    </row>
    <row r="364" spans="1:12">
      <c r="A364" s="12" t="s">
        <v>1074</v>
      </c>
      <c r="B364" s="5" t="s">
        <v>399</v>
      </c>
      <c r="C364" s="5" t="s">
        <v>375</v>
      </c>
      <c r="D364" s="12" t="s">
        <v>264</v>
      </c>
      <c r="E364" s="3">
        <v>46223</v>
      </c>
      <c r="F364" s="3">
        <v>46238</v>
      </c>
      <c r="G364" s="6">
        <v>3828.96</v>
      </c>
      <c r="H364" s="5" t="s">
        <v>68</v>
      </c>
      <c r="I364" s="3">
        <v>46244</v>
      </c>
      <c r="J364" s="8">
        <f>AS_OF-F364</f>
        <v>37</v>
      </c>
      <c r="K364" s="5" t="str">
        <f>IF(OR(AND(H364&lt;&gt;"open",H364&lt;&gt;"partial"),G364&lt;=0),"n/a",IF(J364&lt;0,"current",IF(J364&lt;=30,"0-30",IF(J364&lt;=60,"31-60",IF(J364&lt;=90,"61-90","90+")))))</f>
        <v>n/a</v>
      </c>
      <c r="L364" s="12" t="s">
        <v>1075</v>
      </c>
    </row>
    <row r="365" spans="1:12">
      <c r="A365" s="12" t="s">
        <v>1076</v>
      </c>
      <c r="B365" s="5" t="s">
        <v>324</v>
      </c>
      <c r="C365" s="5" t="s">
        <v>325</v>
      </c>
      <c r="D365" s="12" t="s">
        <v>267</v>
      </c>
      <c r="E365" s="3">
        <v>46224</v>
      </c>
      <c r="F365" s="3">
        <v>46239</v>
      </c>
      <c r="G365" s="6">
        <v>17191.08</v>
      </c>
      <c r="H365" s="5" t="s">
        <v>68</v>
      </c>
      <c r="I365" s="3">
        <v>46246</v>
      </c>
      <c r="J365" s="8">
        <f>AS_OF-F365</f>
        <v>36</v>
      </c>
      <c r="K365" s="5" t="str">
        <f>IF(OR(AND(H365&lt;&gt;"open",H365&lt;&gt;"partial"),G365&lt;=0),"n/a",IF(J365&lt;0,"current",IF(J365&lt;=30,"0-30",IF(J365&lt;=60,"31-60",IF(J365&lt;=90,"61-90","90+")))))</f>
        <v>n/a</v>
      </c>
      <c r="L365" s="12" t="s">
        <v>1077</v>
      </c>
    </row>
    <row r="366" spans="1:12">
      <c r="A366" s="12" t="s">
        <v>1078</v>
      </c>
      <c r="B366" s="5" t="s">
        <v>328</v>
      </c>
      <c r="C366" s="5" t="s">
        <v>329</v>
      </c>
      <c r="D366" s="12" t="s">
        <v>286</v>
      </c>
      <c r="E366" s="3">
        <v>46224</v>
      </c>
      <c r="F366" s="3">
        <v>46239</v>
      </c>
      <c r="G366" s="6">
        <v>11075.94</v>
      </c>
      <c r="H366" s="5" t="s">
        <v>68</v>
      </c>
      <c r="I366" s="3">
        <v>46257</v>
      </c>
      <c r="J366" s="8">
        <f>AS_OF-F366</f>
        <v>36</v>
      </c>
      <c r="K366" s="5" t="str">
        <f>IF(OR(AND(H366&lt;&gt;"open",H366&lt;&gt;"partial"),G366&lt;=0),"n/a",IF(J366&lt;0,"current",IF(J366&lt;=30,"0-30",IF(J366&lt;=60,"31-60",IF(J366&lt;=90,"61-90","90+")))))</f>
        <v>n/a</v>
      </c>
      <c r="L366" s="12" t="s">
        <v>1079</v>
      </c>
    </row>
    <row r="367" spans="1:12">
      <c r="A367" s="12" t="s">
        <v>1080</v>
      </c>
      <c r="B367" s="5" t="s">
        <v>531</v>
      </c>
      <c r="C367" s="5" t="s">
        <v>375</v>
      </c>
      <c r="D367" s="12" t="s">
        <v>283</v>
      </c>
      <c r="E367" s="3">
        <v>46224</v>
      </c>
      <c r="F367" s="3">
        <v>46239</v>
      </c>
      <c r="G367" s="6">
        <v>3688.02</v>
      </c>
      <c r="H367" s="5" t="s">
        <v>68</v>
      </c>
      <c r="I367" s="3">
        <v>46248</v>
      </c>
      <c r="J367" s="8">
        <f>AS_OF-F367</f>
        <v>36</v>
      </c>
      <c r="K367" s="5" t="str">
        <f>IF(OR(AND(H367&lt;&gt;"open",H367&lt;&gt;"partial"),G367&lt;=0),"n/a",IF(J367&lt;0,"current",IF(J367&lt;=30,"0-30",IF(J367&lt;=60,"31-60",IF(J367&lt;=90,"61-90","90+")))))</f>
        <v>n/a</v>
      </c>
      <c r="L367" s="12" t="s">
        <v>1081</v>
      </c>
    </row>
    <row r="368" spans="1:12">
      <c r="A368" s="12" t="s">
        <v>1082</v>
      </c>
      <c r="B368" s="5" t="s">
        <v>405</v>
      </c>
      <c r="C368" s="5" t="s">
        <v>340</v>
      </c>
      <c r="D368" s="12" t="s">
        <v>272</v>
      </c>
      <c r="E368" s="3">
        <v>46211</v>
      </c>
      <c r="F368" s="3">
        <v>46241</v>
      </c>
      <c r="G368" s="6">
        <v>7387.2</v>
      </c>
      <c r="H368" s="5" t="s">
        <v>68</v>
      </c>
      <c r="I368" s="3">
        <v>46254</v>
      </c>
      <c r="J368" s="8">
        <f>AS_OF-F368</f>
        <v>34</v>
      </c>
      <c r="K368" s="5" t="str">
        <f>IF(OR(AND(H368&lt;&gt;"open",H368&lt;&gt;"partial"),G368&lt;=0),"n/a",IF(J368&lt;0,"current",IF(J368&lt;=30,"0-30",IF(J368&lt;=60,"31-60",IF(J368&lt;=90,"61-90","90+")))))</f>
        <v>n/a</v>
      </c>
      <c r="L368" s="12" t="s">
        <v>1083</v>
      </c>
    </row>
    <row r="369" spans="1:12">
      <c r="A369" s="12" t="s">
        <v>1084</v>
      </c>
      <c r="B369" s="5" t="s">
        <v>443</v>
      </c>
      <c r="C369" s="5" t="s">
        <v>329</v>
      </c>
      <c r="D369" s="12" t="s">
        <v>283</v>
      </c>
      <c r="E369" s="3">
        <v>46226</v>
      </c>
      <c r="F369" s="3">
        <v>46241</v>
      </c>
      <c r="G369" s="6">
        <v>18489.6</v>
      </c>
      <c r="H369" s="5" t="s">
        <v>68</v>
      </c>
      <c r="I369" s="3">
        <v>46258</v>
      </c>
      <c r="J369" s="8">
        <f>AS_OF-F369</f>
        <v>34</v>
      </c>
      <c r="K369" s="5" t="str">
        <f>IF(OR(AND(H369&lt;&gt;"open",H369&lt;&gt;"partial"),G369&lt;=0),"n/a",IF(J369&lt;0,"current",IF(J369&lt;=30,"0-30",IF(J369&lt;=60,"31-60",IF(J369&lt;=90,"61-90","90+")))))</f>
        <v>n/a</v>
      </c>
      <c r="L369" s="12" t="s">
        <v>1085</v>
      </c>
    </row>
    <row r="370" spans="1:12">
      <c r="A370" s="12" t="s">
        <v>1086</v>
      </c>
      <c r="B370" s="5" t="s">
        <v>332</v>
      </c>
      <c r="C370" s="5" t="s">
        <v>325</v>
      </c>
      <c r="D370" s="12" t="s">
        <v>286</v>
      </c>
      <c r="E370" s="3">
        <v>46228</v>
      </c>
      <c r="F370" s="3">
        <v>46243</v>
      </c>
      <c r="G370" s="6">
        <v>10559.88</v>
      </c>
      <c r="H370" s="5" t="s">
        <v>68</v>
      </c>
      <c r="I370" s="3">
        <v>46251</v>
      </c>
      <c r="J370" s="8">
        <f>AS_OF-F370</f>
        <v>32</v>
      </c>
      <c r="K370" s="5" t="str">
        <f>IF(OR(AND(H370&lt;&gt;"open",H370&lt;&gt;"partial"),G370&lt;=0),"n/a",IF(J370&lt;0,"current",IF(J370&lt;=30,"0-30",IF(J370&lt;=60,"31-60",IF(J370&lt;=90,"61-90","90+")))))</f>
        <v>n/a</v>
      </c>
      <c r="L370" s="12" t="s">
        <v>1087</v>
      </c>
    </row>
    <row r="371" spans="1:12">
      <c r="A371" s="12" t="s">
        <v>1088</v>
      </c>
      <c r="B371" s="5" t="s">
        <v>384</v>
      </c>
      <c r="C371" s="5" t="s">
        <v>375</v>
      </c>
      <c r="D371" s="12" t="s">
        <v>267</v>
      </c>
      <c r="E371" s="3">
        <v>46230</v>
      </c>
      <c r="F371" s="3">
        <v>46245</v>
      </c>
      <c r="G371" s="6">
        <v>3674.7</v>
      </c>
      <c r="H371" s="5" t="s">
        <v>68</v>
      </c>
      <c r="I371" s="3">
        <v>46256</v>
      </c>
      <c r="J371" s="8">
        <f>AS_OF-F371</f>
        <v>30</v>
      </c>
      <c r="K371" s="5" t="str">
        <f>IF(OR(AND(H371&lt;&gt;"open",H371&lt;&gt;"partial"),G371&lt;=0),"n/a",IF(J371&lt;0,"current",IF(J371&lt;=30,"0-30",IF(J371&lt;=60,"31-60",IF(J371&lt;=90,"61-90","90+")))))</f>
        <v>n/a</v>
      </c>
      <c r="L371" s="12" t="s">
        <v>1089</v>
      </c>
    </row>
    <row r="372" spans="1:12">
      <c r="A372" s="12" t="s">
        <v>1090</v>
      </c>
      <c r="B372" s="5" t="s">
        <v>402</v>
      </c>
      <c r="C372" s="5" t="s">
        <v>329</v>
      </c>
      <c r="D372" s="12" t="s">
        <v>289</v>
      </c>
      <c r="E372" s="3">
        <v>46233</v>
      </c>
      <c r="F372" s="3">
        <v>46248</v>
      </c>
      <c r="G372" s="6">
        <v>7635.6</v>
      </c>
      <c r="H372" s="5" t="s">
        <v>68</v>
      </c>
      <c r="I372" s="3">
        <v>46265</v>
      </c>
      <c r="J372" s="8">
        <f>AS_OF-F372</f>
        <v>27</v>
      </c>
      <c r="K372" s="5" t="str">
        <f>IF(OR(AND(H372&lt;&gt;"open",H372&lt;&gt;"partial"),G372&lt;=0),"n/a",IF(J372&lt;0,"current",IF(J372&lt;=30,"0-30",IF(J372&lt;=60,"31-60",IF(J372&lt;=90,"61-90","90+")))))</f>
        <v>n/a</v>
      </c>
      <c r="L372" s="12" t="s">
        <v>1091</v>
      </c>
    </row>
    <row r="373" spans="1:12">
      <c r="A373" s="12" t="s">
        <v>1092</v>
      </c>
      <c r="B373" s="5" t="s">
        <v>419</v>
      </c>
      <c r="C373" s="5" t="s">
        <v>375</v>
      </c>
      <c r="D373" s="12" t="s">
        <v>286</v>
      </c>
      <c r="E373" s="3">
        <v>46221</v>
      </c>
      <c r="F373" s="3">
        <v>46251</v>
      </c>
      <c r="G373" s="6">
        <v>3716.28</v>
      </c>
      <c r="H373" s="5" t="s">
        <v>68</v>
      </c>
      <c r="I373" s="3">
        <v>46260</v>
      </c>
      <c r="J373" s="8">
        <f>AS_OF-F373</f>
        <v>24</v>
      </c>
      <c r="K373" s="5" t="str">
        <f>IF(OR(AND(H373&lt;&gt;"open",H373&lt;&gt;"partial"),G373&lt;=0),"n/a",IF(J373&lt;0,"current",IF(J373&lt;=30,"0-30",IF(J373&lt;=60,"31-60",IF(J373&lt;=90,"61-90","90+")))))</f>
        <v>n/a</v>
      </c>
      <c r="L373" s="12" t="s">
        <v>1093</v>
      </c>
    </row>
    <row r="374" spans="1:12">
      <c r="A374" s="12" t="s">
        <v>1094</v>
      </c>
      <c r="B374" s="5" t="s">
        <v>343</v>
      </c>
      <c r="C374" s="5" t="s">
        <v>329</v>
      </c>
      <c r="D374" s="12" t="s">
        <v>272</v>
      </c>
      <c r="E374" s="3">
        <v>46221</v>
      </c>
      <c r="F374" s="3">
        <v>46251</v>
      </c>
      <c r="G374" s="6">
        <v>16633.26</v>
      </c>
      <c r="H374" s="5" t="s">
        <v>68</v>
      </c>
      <c r="I374" s="3">
        <v>46260</v>
      </c>
      <c r="J374" s="8">
        <f>AS_OF-F374</f>
        <v>24</v>
      </c>
      <c r="K374" s="5" t="str">
        <f>IF(OR(AND(H374&lt;&gt;"open",H374&lt;&gt;"partial"),G374&lt;=0),"n/a",IF(J374&lt;0,"current",IF(J374&lt;=30,"0-30",IF(J374&lt;=60,"31-60",IF(J374&lt;=90,"61-90","90+")))))</f>
        <v>n/a</v>
      </c>
      <c r="L374" s="12" t="s">
        <v>1095</v>
      </c>
    </row>
    <row r="375" spans="1:12">
      <c r="A375" s="12" t="s">
        <v>1096</v>
      </c>
      <c r="B375" s="5" t="s">
        <v>405</v>
      </c>
      <c r="C375" s="5" t="s">
        <v>340</v>
      </c>
      <c r="D375" s="12" t="s">
        <v>283</v>
      </c>
      <c r="E375" s="3">
        <v>46222</v>
      </c>
      <c r="F375" s="3">
        <v>46252</v>
      </c>
      <c r="G375" s="6">
        <v>9862.92</v>
      </c>
      <c r="H375" s="5" t="s">
        <v>68</v>
      </c>
      <c r="I375" s="3">
        <v>46262</v>
      </c>
      <c r="J375" s="8">
        <f>AS_OF-F375</f>
        <v>23</v>
      </c>
      <c r="K375" s="5" t="str">
        <f>IF(OR(AND(H375&lt;&gt;"open",H375&lt;&gt;"partial"),G375&lt;=0),"n/a",IF(J375&lt;0,"current",IF(J375&lt;=30,"0-30",IF(J375&lt;=60,"31-60",IF(J375&lt;=90,"61-90","90+")))))</f>
        <v>n/a</v>
      </c>
      <c r="L375" s="12" t="s">
        <v>1097</v>
      </c>
    </row>
    <row r="376" spans="1:12">
      <c r="A376" s="12" t="s">
        <v>1098</v>
      </c>
      <c r="B376" s="5" t="s">
        <v>393</v>
      </c>
      <c r="C376" s="5" t="s">
        <v>356</v>
      </c>
      <c r="D376" s="12" t="s">
        <v>289</v>
      </c>
      <c r="E376" s="3">
        <v>46224</v>
      </c>
      <c r="F376" s="3">
        <v>46254</v>
      </c>
      <c r="G376" s="6">
        <v>3993.66</v>
      </c>
      <c r="H376" s="5" t="s">
        <v>198</v>
      </c>
      <c r="I376" s="5" t="s">
        <v>150</v>
      </c>
      <c r="J376" s="8">
        <f>AS_OF-F376</f>
        <v>21</v>
      </c>
      <c r="K376" s="5" t="str">
        <f>IF(OR(AND(H376&lt;&gt;"open",H376&lt;&gt;"partial"),G376&lt;=0),"n/a",IF(J376&lt;0,"current",IF(J376&lt;=30,"0-30",IF(J376&lt;=60,"31-60",IF(J376&lt;=90,"61-90","90+")))))</f>
        <v>0-30</v>
      </c>
      <c r="L376" s="12" t="s">
        <v>1099</v>
      </c>
    </row>
    <row r="377" spans="1:12">
      <c r="A377" s="12" t="s">
        <v>1100</v>
      </c>
      <c r="B377" s="5" t="s">
        <v>349</v>
      </c>
      <c r="C377" s="5" t="s">
        <v>340</v>
      </c>
      <c r="D377" s="12" t="s">
        <v>289</v>
      </c>
      <c r="E377" s="3">
        <v>46224</v>
      </c>
      <c r="F377" s="3">
        <v>46254</v>
      </c>
      <c r="G377" s="6">
        <v>6724.26</v>
      </c>
      <c r="H377" s="5" t="s">
        <v>68</v>
      </c>
      <c r="I377" s="3">
        <v>46267</v>
      </c>
      <c r="J377" s="8">
        <f>AS_OF-F377</f>
        <v>21</v>
      </c>
      <c r="K377" s="5" t="str">
        <f>IF(OR(AND(H377&lt;&gt;"open",H377&lt;&gt;"partial"),G377&lt;=0),"n/a",IF(J377&lt;0,"current",IF(J377&lt;=30,"0-30",IF(J377&lt;=60,"31-60",IF(J377&lt;=90,"61-90","90+")))))</f>
        <v>n/a</v>
      </c>
      <c r="L377" s="12" t="s">
        <v>1101</v>
      </c>
    </row>
    <row r="378" spans="1:12">
      <c r="A378" s="12" t="s">
        <v>1102</v>
      </c>
      <c r="B378" s="5" t="s">
        <v>650</v>
      </c>
      <c r="C378" s="5" t="s">
        <v>340</v>
      </c>
      <c r="D378" s="12" t="s">
        <v>267</v>
      </c>
      <c r="E378" s="3">
        <v>46212</v>
      </c>
      <c r="F378" s="3">
        <v>46257</v>
      </c>
      <c r="G378" s="6">
        <v>4341.6</v>
      </c>
      <c r="H378" s="5" t="s">
        <v>68</v>
      </c>
      <c r="I378" s="3">
        <v>46275</v>
      </c>
      <c r="J378" s="8">
        <f>AS_OF-F378</f>
        <v>18</v>
      </c>
      <c r="K378" s="5" t="str">
        <f>IF(OR(AND(H378&lt;&gt;"open",H378&lt;&gt;"partial"),G378&lt;=0),"n/a",IF(J378&lt;0,"current",IF(J378&lt;=30,"0-30",IF(J378&lt;=60,"31-60",IF(J378&lt;=90,"61-90","90+")))))</f>
        <v>n/a</v>
      </c>
      <c r="L378" s="12" t="s">
        <v>1103</v>
      </c>
    </row>
    <row r="379" spans="1:12">
      <c r="A379" s="12" t="s">
        <v>1104</v>
      </c>
      <c r="B379" s="5" t="s">
        <v>324</v>
      </c>
      <c r="C379" s="5" t="s">
        <v>325</v>
      </c>
      <c r="D379" s="12" t="s">
        <v>272</v>
      </c>
      <c r="E379" s="3">
        <v>46242</v>
      </c>
      <c r="F379" s="3">
        <v>46257</v>
      </c>
      <c r="G379" s="6">
        <v>14397.48</v>
      </c>
      <c r="H379" s="5" t="s">
        <v>68</v>
      </c>
      <c r="I379" s="3">
        <v>46269</v>
      </c>
      <c r="J379" s="8">
        <f>AS_OF-F379</f>
        <v>18</v>
      </c>
      <c r="K379" s="5" t="str">
        <f>IF(OR(AND(H379&lt;&gt;"open",H379&lt;&gt;"partial"),G379&lt;=0),"n/a",IF(J379&lt;0,"current",IF(J379&lt;=30,"0-30",IF(J379&lt;=60,"31-60",IF(J379&lt;=90,"61-90","90+")))))</f>
        <v>n/a</v>
      </c>
      <c r="L379" s="12" t="s">
        <v>1105</v>
      </c>
    </row>
    <row r="380" spans="1:12">
      <c r="A380" s="12" t="s">
        <v>1106</v>
      </c>
      <c r="B380" s="5" t="s">
        <v>324</v>
      </c>
      <c r="C380" s="5" t="s">
        <v>325</v>
      </c>
      <c r="D380" s="12" t="s">
        <v>289</v>
      </c>
      <c r="E380" s="3">
        <v>46243</v>
      </c>
      <c r="F380" s="3">
        <v>46258</v>
      </c>
      <c r="G380" s="6">
        <v>16850.52</v>
      </c>
      <c r="H380" s="5" t="s">
        <v>68</v>
      </c>
      <c r="I380" s="3">
        <v>46271</v>
      </c>
      <c r="J380" s="8">
        <f>AS_OF-F380</f>
        <v>17</v>
      </c>
      <c r="K380" s="5" t="str">
        <f>IF(OR(AND(H380&lt;&gt;"open",H380&lt;&gt;"partial"),G380&lt;=0),"n/a",IF(J380&lt;0,"current",IF(J380&lt;=30,"0-30",IF(J380&lt;=60,"31-60",IF(J380&lt;=90,"61-90","90+")))))</f>
        <v>n/a</v>
      </c>
      <c r="L380" s="12" t="s">
        <v>1107</v>
      </c>
    </row>
    <row r="381" spans="1:12">
      <c r="A381" s="12" t="s">
        <v>1108</v>
      </c>
      <c r="B381" s="5" t="s">
        <v>346</v>
      </c>
      <c r="C381" s="5" t="s">
        <v>325</v>
      </c>
      <c r="D381" s="12" t="s">
        <v>272</v>
      </c>
      <c r="E381" s="3">
        <v>46252</v>
      </c>
      <c r="F381" s="3">
        <v>46259</v>
      </c>
      <c r="G381" s="6">
        <v>9167.4</v>
      </c>
      <c r="H381" s="5" t="s">
        <v>198</v>
      </c>
      <c r="I381" s="5" t="s">
        <v>150</v>
      </c>
      <c r="J381" s="8">
        <f>AS_OF-F381</f>
        <v>16</v>
      </c>
      <c r="K381" s="5" t="str">
        <f>IF(OR(AND(H381&lt;&gt;"open",H381&lt;&gt;"partial"),G381&lt;=0),"n/a",IF(J381&lt;0,"current",IF(J381&lt;=30,"0-30",IF(J381&lt;=60,"31-60",IF(J381&lt;=90,"61-90","90+")))))</f>
        <v>0-30</v>
      </c>
      <c r="L381" s="12" t="s">
        <v>1109</v>
      </c>
    </row>
    <row r="382" spans="1:12">
      <c r="A382" s="12" t="s">
        <v>1110</v>
      </c>
      <c r="B382" s="5" t="s">
        <v>349</v>
      </c>
      <c r="C382" s="5" t="s">
        <v>340</v>
      </c>
      <c r="D382" s="12" t="s">
        <v>272</v>
      </c>
      <c r="E382" s="3">
        <v>46230</v>
      </c>
      <c r="F382" s="3">
        <v>46260</v>
      </c>
      <c r="G382" s="6">
        <v>3637.8</v>
      </c>
      <c r="H382" s="5" t="s">
        <v>198</v>
      </c>
      <c r="I382" s="5" t="s">
        <v>150</v>
      </c>
      <c r="J382" s="8">
        <f>AS_OF-F382</f>
        <v>15</v>
      </c>
      <c r="K382" s="5" t="str">
        <f>IF(OR(AND(H382&lt;&gt;"open",H382&lt;&gt;"partial"),G382&lt;=0),"n/a",IF(J382&lt;0,"current",IF(J382&lt;=30,"0-30",IF(J382&lt;=60,"31-60",IF(J382&lt;=90,"61-90","90+")))))</f>
        <v>0-30</v>
      </c>
      <c r="L382" s="12" t="s">
        <v>1111</v>
      </c>
    </row>
    <row r="383" spans="1:12">
      <c r="A383" s="12" t="s">
        <v>1112</v>
      </c>
      <c r="B383" s="5" t="s">
        <v>396</v>
      </c>
      <c r="C383" s="5" t="s">
        <v>356</v>
      </c>
      <c r="D383" s="12" t="s">
        <v>272</v>
      </c>
      <c r="E383" s="3">
        <v>46231</v>
      </c>
      <c r="F383" s="3">
        <v>46261</v>
      </c>
      <c r="G383" s="6">
        <v>3974.4</v>
      </c>
      <c r="H383" s="5" t="s">
        <v>198</v>
      </c>
      <c r="I383" s="5" t="s">
        <v>150</v>
      </c>
      <c r="J383" s="8">
        <f>AS_OF-F383</f>
        <v>14</v>
      </c>
      <c r="K383" s="5" t="str">
        <f>IF(OR(AND(H383&lt;&gt;"open",H383&lt;&gt;"partial"),G383&lt;=0),"n/a",IF(J383&lt;0,"current",IF(J383&lt;=30,"0-30",IF(J383&lt;=60,"31-60",IF(J383&lt;=90,"61-90","90+")))))</f>
        <v>0-30</v>
      </c>
      <c r="L383" s="12" t="s">
        <v>1113</v>
      </c>
    </row>
    <row r="384" spans="1:12">
      <c r="A384" s="12" t="s">
        <v>1114</v>
      </c>
      <c r="B384" s="5" t="s">
        <v>531</v>
      </c>
      <c r="C384" s="5" t="s">
        <v>375</v>
      </c>
      <c r="D384" s="12" t="s">
        <v>283</v>
      </c>
      <c r="E384" s="3">
        <v>46249</v>
      </c>
      <c r="F384" s="3">
        <v>46264</v>
      </c>
      <c r="G384" s="6">
        <v>4848.66</v>
      </c>
      <c r="H384" s="5" t="s">
        <v>198</v>
      </c>
      <c r="I384" s="5" t="s">
        <v>150</v>
      </c>
      <c r="J384" s="8">
        <f>AS_OF-F384</f>
        <v>11</v>
      </c>
      <c r="K384" s="5" t="str">
        <f>IF(OR(AND(H384&lt;&gt;"open",H384&lt;&gt;"partial"),G384&lt;=0),"n/a",IF(J384&lt;0,"current",IF(J384&lt;=30,"0-30",IF(J384&lt;=60,"31-60",IF(J384&lt;=90,"61-90","90+")))))</f>
        <v>0-30</v>
      </c>
      <c r="L384" s="12" t="s">
        <v>1115</v>
      </c>
    </row>
    <row r="385" spans="1:12">
      <c r="A385" s="12" t="s">
        <v>1116</v>
      </c>
      <c r="B385" s="5" t="s">
        <v>349</v>
      </c>
      <c r="C385" s="5" t="s">
        <v>340</v>
      </c>
      <c r="D385" s="12" t="s">
        <v>289</v>
      </c>
      <c r="E385" s="3">
        <v>46234</v>
      </c>
      <c r="F385" s="3">
        <v>46264</v>
      </c>
      <c r="G385" s="6">
        <v>6378.48</v>
      </c>
      <c r="H385" s="5" t="s">
        <v>68</v>
      </c>
      <c r="I385" s="3">
        <v>46274</v>
      </c>
      <c r="J385" s="8">
        <f>AS_OF-F385</f>
        <v>11</v>
      </c>
      <c r="K385" s="5" t="str">
        <f>IF(OR(AND(H385&lt;&gt;"open",H385&lt;&gt;"partial"),G385&lt;=0),"n/a",IF(J385&lt;0,"current",IF(J385&lt;=30,"0-30",IF(J385&lt;=60,"31-60",IF(J385&lt;=90,"61-90","90+")))))</f>
        <v>n/a</v>
      </c>
      <c r="L385" s="12" t="s">
        <v>1117</v>
      </c>
    </row>
    <row r="386" spans="1:12">
      <c r="A386" s="12" t="s">
        <v>1118</v>
      </c>
      <c r="B386" s="5" t="s">
        <v>384</v>
      </c>
      <c r="C386" s="5" t="s">
        <v>375</v>
      </c>
      <c r="D386" s="12" t="s">
        <v>289</v>
      </c>
      <c r="E386" s="3">
        <v>46251</v>
      </c>
      <c r="F386" s="3">
        <v>46266</v>
      </c>
      <c r="G386" s="6">
        <v>3730.5</v>
      </c>
      <c r="H386" s="5" t="s">
        <v>198</v>
      </c>
      <c r="I386" s="5" t="s">
        <v>150</v>
      </c>
      <c r="J386" s="8">
        <f>AS_OF-F386</f>
        <v>9</v>
      </c>
      <c r="K386" s="5" t="str">
        <f>IF(OR(AND(H386&lt;&gt;"open",H386&lt;&gt;"partial"),G386&lt;=0),"n/a",IF(J386&lt;0,"current",IF(J386&lt;=30,"0-30",IF(J386&lt;=60,"31-60",IF(J386&lt;=90,"61-90","90+")))))</f>
        <v>0-30</v>
      </c>
      <c r="L386" s="12" t="s">
        <v>1119</v>
      </c>
    </row>
    <row r="387" spans="1:12">
      <c r="A387" s="12" t="s">
        <v>1120</v>
      </c>
      <c r="B387" s="5" t="s">
        <v>369</v>
      </c>
      <c r="C387" s="5" t="s">
        <v>340</v>
      </c>
      <c r="D387" s="12" t="s">
        <v>286</v>
      </c>
      <c r="E387" s="3">
        <v>46237</v>
      </c>
      <c r="F387" s="3">
        <v>46267</v>
      </c>
      <c r="G387" s="6">
        <v>4659.12</v>
      </c>
      <c r="H387" s="5" t="s">
        <v>198</v>
      </c>
      <c r="I387" s="5" t="s">
        <v>150</v>
      </c>
      <c r="J387" s="8">
        <f>AS_OF-F387</f>
        <v>8</v>
      </c>
      <c r="K387" s="5" t="str">
        <f>IF(OR(AND(H387&lt;&gt;"open",H387&lt;&gt;"partial"),G387&lt;=0),"n/a",IF(J387&lt;0,"current",IF(J387&lt;=30,"0-30",IF(J387&lt;=60,"31-60",IF(J387&lt;=90,"61-90","90+")))))</f>
        <v>0-30</v>
      </c>
      <c r="L387" s="12" t="s">
        <v>1121</v>
      </c>
    </row>
    <row r="388" spans="1:12">
      <c r="A388" s="12" t="s">
        <v>1122</v>
      </c>
      <c r="B388" s="5" t="s">
        <v>349</v>
      </c>
      <c r="C388" s="5" t="s">
        <v>340</v>
      </c>
      <c r="D388" s="12" t="s">
        <v>286</v>
      </c>
      <c r="E388" s="3">
        <v>46240</v>
      </c>
      <c r="F388" s="3">
        <v>46270</v>
      </c>
      <c r="G388" s="6">
        <v>6796.98</v>
      </c>
      <c r="H388" s="5" t="s">
        <v>198</v>
      </c>
      <c r="I388" s="5" t="s">
        <v>150</v>
      </c>
      <c r="J388" s="8">
        <f>AS_OF-F388</f>
        <v>5</v>
      </c>
      <c r="K388" s="5" t="str">
        <f>IF(OR(AND(H388&lt;&gt;"open",H388&lt;&gt;"partial"),G388&lt;=0),"n/a",IF(J388&lt;0,"current",IF(J388&lt;=30,"0-30",IF(J388&lt;=60,"31-60",IF(J388&lt;=90,"61-90","90+")))))</f>
        <v>0-30</v>
      </c>
      <c r="L388" s="12" t="s">
        <v>1123</v>
      </c>
    </row>
    <row r="389" spans="1:12">
      <c r="A389" s="12" t="s">
        <v>1124</v>
      </c>
      <c r="B389" s="5" t="s">
        <v>399</v>
      </c>
      <c r="C389" s="5" t="s">
        <v>375</v>
      </c>
      <c r="D389" s="12" t="s">
        <v>272</v>
      </c>
      <c r="E389" s="3">
        <v>46257</v>
      </c>
      <c r="F389" s="3">
        <v>46272</v>
      </c>
      <c r="G389" s="6">
        <v>3732.3</v>
      </c>
      <c r="H389" s="5" t="s">
        <v>198</v>
      </c>
      <c r="I389" s="5" t="s">
        <v>150</v>
      </c>
      <c r="J389" s="8">
        <f>AS_OF-F389</f>
        <v>3</v>
      </c>
      <c r="K389" s="5" t="str">
        <f>IF(OR(AND(H389&lt;&gt;"open",H389&lt;&gt;"partial"),G389&lt;=0),"n/a",IF(J389&lt;0,"current",IF(J389&lt;=30,"0-30",IF(J389&lt;=60,"31-60",IF(J389&lt;=90,"61-90","90+")))))</f>
        <v>0-30</v>
      </c>
      <c r="L389" s="12" t="s">
        <v>1125</v>
      </c>
    </row>
    <row r="390" spans="1:12">
      <c r="A390" s="12" t="s">
        <v>1126</v>
      </c>
      <c r="B390" s="5" t="s">
        <v>543</v>
      </c>
      <c r="C390" s="5" t="s">
        <v>329</v>
      </c>
      <c r="D390" s="12" t="s">
        <v>286</v>
      </c>
      <c r="E390" s="3">
        <v>46246</v>
      </c>
      <c r="F390" s="3">
        <v>46276</v>
      </c>
      <c r="G390" s="6">
        <v>15200.1</v>
      </c>
      <c r="H390" s="5" t="s">
        <v>198</v>
      </c>
      <c r="I390" s="5" t="s">
        <v>150</v>
      </c>
      <c r="J390" s="8">
        <f>AS_OF-F390</f>
        <v>-1</v>
      </c>
      <c r="K390" s="5" t="str">
        <f>IF(OR(AND(H390&lt;&gt;"open",H390&lt;&gt;"partial"),G390&lt;=0),"n/a",IF(J390&lt;0,"current",IF(J390&lt;=30,"0-30",IF(J390&lt;=60,"31-60",IF(J390&lt;=90,"61-90","90+")))))</f>
        <v>current</v>
      </c>
      <c r="L390" s="12" t="s">
        <v>1127</v>
      </c>
    </row>
    <row r="391" spans="1:12">
      <c r="A391" s="12" t="s">
        <v>1128</v>
      </c>
      <c r="B391" s="5" t="s">
        <v>346</v>
      </c>
      <c r="C391" s="5" t="s">
        <v>325</v>
      </c>
      <c r="D391" s="12" t="s">
        <v>286</v>
      </c>
      <c r="E391" s="3">
        <v>46270</v>
      </c>
      <c r="F391" s="3">
        <v>46277</v>
      </c>
      <c r="G391" s="6">
        <v>22560.66</v>
      </c>
      <c r="H391" s="5" t="s">
        <v>198</v>
      </c>
      <c r="I391" s="5" t="s">
        <v>150</v>
      </c>
      <c r="J391" s="8">
        <f>AS_OF-F391</f>
        <v>-2</v>
      </c>
      <c r="K391" s="5" t="str">
        <f>IF(OR(AND(H391&lt;&gt;"open",H391&lt;&gt;"partial"),G391&lt;=0),"n/a",IF(J391&lt;0,"current",IF(J391&lt;=30,"0-30",IF(J391&lt;=60,"31-60",IF(J391&lt;=90,"61-90","90+")))))</f>
        <v>current</v>
      </c>
      <c r="L391" s="12" t="s">
        <v>1129</v>
      </c>
    </row>
    <row r="392" spans="1:12">
      <c r="A392" s="12" t="s">
        <v>1130</v>
      </c>
      <c r="B392" s="5" t="s">
        <v>410</v>
      </c>
      <c r="C392" s="5" t="s">
        <v>340</v>
      </c>
      <c r="D392" s="12" t="s">
        <v>289</v>
      </c>
      <c r="E392" s="3">
        <v>46249</v>
      </c>
      <c r="F392" s="3">
        <v>46279</v>
      </c>
      <c r="G392" s="6">
        <v>4004.46</v>
      </c>
      <c r="H392" s="5" t="s">
        <v>68</v>
      </c>
      <c r="I392" s="3">
        <v>46271</v>
      </c>
      <c r="J392" s="8">
        <f>AS_OF-F392</f>
        <v>-4</v>
      </c>
      <c r="K392" s="5" t="str">
        <f>IF(OR(AND(H392&lt;&gt;"open",H392&lt;&gt;"partial"),G392&lt;=0),"n/a",IF(J392&lt;0,"current",IF(J392&lt;=30,"0-30",IF(J392&lt;=60,"31-60",IF(J392&lt;=90,"61-90","90+")))))</f>
        <v>n/a</v>
      </c>
      <c r="L392" s="12" t="s">
        <v>1131</v>
      </c>
    </row>
    <row r="393" spans="1:12">
      <c r="A393" s="12" t="s">
        <v>1132</v>
      </c>
      <c r="B393" s="5" t="s">
        <v>349</v>
      </c>
      <c r="C393" s="5" t="s">
        <v>340</v>
      </c>
      <c r="D393" s="12" t="s">
        <v>283</v>
      </c>
      <c r="E393" s="3">
        <v>46252</v>
      </c>
      <c r="F393" s="3">
        <v>46282</v>
      </c>
      <c r="G393" s="6">
        <v>4838.4</v>
      </c>
      <c r="H393" s="5" t="s">
        <v>198</v>
      </c>
      <c r="I393" s="5" t="s">
        <v>150</v>
      </c>
      <c r="J393" s="8">
        <f>AS_OF-F393</f>
        <v>-7</v>
      </c>
      <c r="K393" s="5" t="str">
        <f>IF(OR(AND(H393&lt;&gt;"open",H393&lt;&gt;"partial"),G393&lt;=0),"n/a",IF(J393&lt;0,"current",IF(J393&lt;=30,"0-30",IF(J393&lt;=60,"31-60",IF(J393&lt;=90,"61-90","90+")))))</f>
        <v>current</v>
      </c>
      <c r="L393" s="12" t="s">
        <v>1133</v>
      </c>
    </row>
    <row r="394" spans="1:12">
      <c r="A394" s="12" t="s">
        <v>1134</v>
      </c>
      <c r="B394" s="5" t="s">
        <v>374</v>
      </c>
      <c r="C394" s="5" t="s">
        <v>375</v>
      </c>
      <c r="D394" s="12" t="s">
        <v>286</v>
      </c>
      <c r="E394" s="3">
        <v>46253</v>
      </c>
      <c r="F394" s="3">
        <v>46283</v>
      </c>
      <c r="G394" s="6">
        <v>3678.12</v>
      </c>
      <c r="H394" s="5" t="s">
        <v>198</v>
      </c>
      <c r="I394" s="5" t="s">
        <v>150</v>
      </c>
      <c r="J394" s="8">
        <f>AS_OF-F394</f>
        <v>-8</v>
      </c>
      <c r="K394" s="5" t="str">
        <f>IF(OR(AND(H394&lt;&gt;"open",H394&lt;&gt;"partial"),G394&lt;=0),"n/a",IF(J394&lt;0,"current",IF(J394&lt;=30,"0-30",IF(J394&lt;=60,"31-60",IF(J394&lt;=90,"61-90","90+")))))</f>
        <v>current</v>
      </c>
      <c r="L394" s="12" t="s">
        <v>1135</v>
      </c>
    </row>
    <row r="395" spans="1:12">
      <c r="A395" s="12" t="s">
        <v>1136</v>
      </c>
      <c r="B395" s="5" t="s">
        <v>419</v>
      </c>
      <c r="C395" s="5" t="s">
        <v>375</v>
      </c>
      <c r="D395" s="12" t="s">
        <v>289</v>
      </c>
      <c r="E395" s="3">
        <v>46253</v>
      </c>
      <c r="F395" s="3">
        <v>46283</v>
      </c>
      <c r="G395" s="6">
        <v>4003.2</v>
      </c>
      <c r="H395" s="5" t="s">
        <v>198</v>
      </c>
      <c r="I395" s="5" t="s">
        <v>150</v>
      </c>
      <c r="J395" s="8">
        <f>AS_OF-F395</f>
        <v>-8</v>
      </c>
      <c r="K395" s="5" t="str">
        <f>IF(OR(AND(H395&lt;&gt;"open",H395&lt;&gt;"partial"),G395&lt;=0),"n/a",IF(J395&lt;0,"current",IF(J395&lt;=30,"0-30",IF(J395&lt;=60,"31-60",IF(J395&lt;=90,"61-90","90+")))))</f>
        <v>current</v>
      </c>
      <c r="L395" s="12" t="s">
        <v>1137</v>
      </c>
    </row>
    <row r="396" spans="1:12">
      <c r="A396" s="12" t="s">
        <v>1138</v>
      </c>
      <c r="B396" s="5" t="s">
        <v>374</v>
      </c>
      <c r="C396" s="5" t="s">
        <v>375</v>
      </c>
      <c r="D396" s="12" t="s">
        <v>272</v>
      </c>
      <c r="E396" s="3">
        <v>46256</v>
      </c>
      <c r="F396" s="3">
        <v>46286</v>
      </c>
      <c r="G396" s="6">
        <v>4661.82</v>
      </c>
      <c r="H396" s="5" t="s">
        <v>198</v>
      </c>
      <c r="I396" s="5" t="s">
        <v>150</v>
      </c>
      <c r="J396" s="8">
        <f>AS_OF-F396</f>
        <v>-11</v>
      </c>
      <c r="K396" s="5" t="str">
        <f>IF(OR(AND(H396&lt;&gt;"open",H396&lt;&gt;"partial"),G396&lt;=0),"n/a",IF(J396&lt;0,"current",IF(J396&lt;=30,"0-30",IF(J396&lt;=60,"31-60",IF(J396&lt;=90,"61-90","90+")))))</f>
        <v>current</v>
      </c>
      <c r="L396" s="12" t="s">
        <v>1139</v>
      </c>
    </row>
    <row r="399" spans="1:12">
      <c r="A399" s="10" t="s">
        <v>1140</v>
      </c>
    </row>
    <row r="400" spans="1:12">
      <c r="A400" s="4" t="s">
        <v>24</v>
      </c>
      <c r="B400" s="4" t="s">
        <v>309</v>
      </c>
      <c r="C400" s="4" t="s">
        <v>310</v>
      </c>
      <c r="D400" s="4" t="s">
        <v>311</v>
      </c>
    </row>
    <row r="401" spans="1:4">
      <c r="A401" s="5" t="s">
        <v>27</v>
      </c>
      <c r="B401" s="6">
        <f>SUMIFS(G5:G396,H5:H396,"open",G5:G396,"&gt;0",J5:J396,"&lt;0")+SUMIFS(G5:G396,H5:H396,"partial",G5:G396,"&gt;0",J5:J396,"&lt;0")</f>
        <v>54942.3</v>
      </c>
      <c r="C401" s="6">
        <v>54942.3</v>
      </c>
      <c r="D401" s="5" t="str">
        <f>IF(ABS(B401-C401)&lt;0.01,"ok","DRIFT")</f>
        <v>ok</v>
      </c>
    </row>
    <row r="402" spans="1:4">
      <c r="A402" s="5" t="s">
        <v>28</v>
      </c>
      <c r="B402" s="6">
        <f>SUMIFS(G5:G396,H5:H396,"open",G5:G396,"&gt;0",J5:J396,"&gt;=0",J5:J396,"&lt;=30")+SUMIFS(G5:G396,H5:H396,"partial",G5:G396,"&gt;0",J5:J396,"&gt;=0",J5:J396,"&lt;=30")</f>
        <v>44540.82</v>
      </c>
      <c r="C402" s="6">
        <v>44540.82</v>
      </c>
      <c r="D402" s="5" t="str">
        <f>IF(ABS(B402-C402)&lt;0.01,"ok","DRIFT")</f>
        <v>ok</v>
      </c>
    </row>
    <row r="403" spans="1:4">
      <c r="A403" s="5" t="s">
        <v>29</v>
      </c>
      <c r="B403" s="6">
        <f>SUMIFS(G5:G396,H5:H396,"open",G5:G396,"&gt;0",J5:J396,"&gt;=31",J5:J396,"&lt;=60")+SUMIFS(G5:G396,H5:H396,"partial",G5:G396,"&gt;0",J5:J396,"&gt;=31",J5:J396,"&lt;=60")</f>
        <v>34258.5</v>
      </c>
      <c r="C403" s="6">
        <v>34258.5</v>
      </c>
      <c r="D403" s="5" t="str">
        <f>IF(ABS(B403-C403)&lt;0.01,"ok","DRIFT")</f>
        <v>ok</v>
      </c>
    </row>
    <row r="404" spans="1:4">
      <c r="A404" s="5" t="s">
        <v>30</v>
      </c>
      <c r="B404" s="6">
        <f>SUMIFS(G5:G396,H5:H396,"open",G5:G396,"&gt;0",J5:J396,"&gt;=61",J5:J396,"&lt;=90")+SUMIFS(G5:G396,H5:H396,"partial",G5:G396,"&gt;0",J5:J396,"&gt;=61",J5:J396,"&lt;=90")</f>
        <v>29039.94</v>
      </c>
      <c r="C404" s="6">
        <v>29039.94</v>
      </c>
      <c r="D404" s="5" t="str">
        <f>IF(ABS(B404-C404)&lt;0.01,"ok","DRIFT")</f>
        <v>ok</v>
      </c>
    </row>
    <row r="405" spans="1:4">
      <c r="A405" s="5" t="s">
        <v>31</v>
      </c>
      <c r="B405" s="6">
        <f>SUMIFS(G5:G396,H5:H396,"open",G5:G396,"&gt;0",J5:J396,"&gt;90")+SUMIFS(G5:G396,H5:H396,"partial",G5:G396,"&gt;0",J5:J396,"&gt;90")</f>
        <v>48433.5</v>
      </c>
      <c r="C405" s="6">
        <v>48433.5</v>
      </c>
      <c r="D405" s="5" t="str">
        <f>IF(ABS(B405-C405)&lt;0.01,"ok","DRIFT")</f>
        <v>ok</v>
      </c>
    </row>
    <row r="407" spans="1:4">
      <c r="A407" s="5" t="s">
        <v>1141</v>
      </c>
      <c r="B407" s="6">
        <f>SUMIFS(G5:G396,H5:H396,"open",G5:G396,"&gt;0")+SUMIFS(G5:G396,H5:H396,"partial",G5:G396,"&gt;0")</f>
        <v>211215.06</v>
      </c>
    </row>
    <row r="408" spans="1:4">
      <c r="A408" s="5" t="s">
        <v>1142</v>
      </c>
      <c r="B408" s="6">
        <f>SUMIFS(G5:G396,E5:E396,"&gt;="&amp;(AS_OF-365),E5:E396,"&lt;="&amp;AS_OF,G5:G396,"&gt;0")</f>
        <v>2819581.58</v>
      </c>
    </row>
    <row r="409" spans="1:4">
      <c r="A409" s="10" t="s">
        <v>1143</v>
      </c>
      <c r="B409" s="7">
        <f>ROUND(B407/B408*365,1)</f>
        <v>27.3</v>
      </c>
      <c r="C409" s="2" t="s">
        <v>1144</v>
      </c>
    </row>
    <row r="410" spans="1:4">
      <c r="A410" s="5" t="s">
        <v>316</v>
      </c>
      <c r="B410" s="5" t="s">
        <v>1145</v>
      </c>
    </row>
  </sheetData>
  <conditionalFormatting sqref="H5:H396">
    <cfRule type="containsText" dxfId="0" priority="3" operator="containsText" text="paid">
      <formula>NOT(ISERROR(SEARCH("paid",H5)))</formula>
    </cfRule>
    <cfRule type="containsText" dxfId="3" priority="4" operator="containsText" text="void">
      <formula>NOT(ISERROR(SEARCH("void",H5)))</formula>
    </cfRule>
  </conditionalFormatting>
  <conditionalFormatting sqref="J5:J396">
    <cfRule type="cellIs" dxfId="1" priority="1" operator="greaterThan">
      <formula>90</formula>
    </cfRule>
    <cfRule type="cellIs" dxfId="2" priority="2" operator="between">
      <formula>31</formula>
      <formula>90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07"/>
  <sheetViews>
    <sheetView workbookViewId="0"/>
  </sheetViews>
  <sheetFormatPr defaultRowHeight="15"/>
  <cols>
    <col min="1" max="1" width="13.7109375" customWidth="1"/>
    <col min="2" max="2" width="12.7109375" customWidth="1"/>
    <col min="3" max="5" width="13.7109375" customWidth="1"/>
    <col min="6" max="6" width="9.7109375" customWidth="1"/>
    <col min="7" max="7" width="60.7109375" customWidth="1"/>
  </cols>
  <sheetData>
    <row r="1" spans="1:7">
      <c r="A1" s="1" t="s">
        <v>1146</v>
      </c>
    </row>
    <row r="2" spans="1:7">
      <c r="A2" s="2" t="s">
        <v>1147</v>
      </c>
    </row>
    <row r="4" spans="1:7">
      <c r="A4" s="10" t="s">
        <v>1148</v>
      </c>
    </row>
    <row r="5" spans="1:7">
      <c r="A5" s="4" t="s">
        <v>321</v>
      </c>
      <c r="B5" s="4" t="s">
        <v>1149</v>
      </c>
      <c r="C5" s="4" t="s">
        <v>1150</v>
      </c>
      <c r="D5" s="4" t="s">
        <v>1151</v>
      </c>
      <c r="E5" s="4" t="s">
        <v>1152</v>
      </c>
      <c r="F5" s="4" t="s">
        <v>1153</v>
      </c>
      <c r="G5" s="4" t="s">
        <v>1154</v>
      </c>
    </row>
    <row r="6" spans="1:7">
      <c r="A6" s="5" t="s">
        <v>340</v>
      </c>
      <c r="B6" s="6">
        <v>12707.63</v>
      </c>
      <c r="C6" s="6">
        <v>14603.22</v>
      </c>
      <c r="D6" s="6">
        <f>C6-B6</f>
        <v>1895.59</v>
      </c>
      <c r="E6" s="9">
        <f>IF(B6=0,0,(C6-B6)/B6)</f>
        <v>0.149</v>
      </c>
      <c r="F6" s="5" t="str">
        <f>IF(AND(C6&gt;0,C6&gt;B6*1.1),"OVER","ok")</f>
        <v>OVER</v>
      </c>
      <c r="G6" s="5" t="s">
        <v>1155</v>
      </c>
    </row>
    <row r="7" spans="1:7">
      <c r="A7" s="5" t="s">
        <v>329</v>
      </c>
      <c r="B7" s="6">
        <v>14546.57</v>
      </c>
      <c r="C7" s="6">
        <v>16922.16</v>
      </c>
      <c r="D7" s="6">
        <f>C7-B7</f>
        <v>2375.59</v>
      </c>
      <c r="E7" s="9">
        <f>IF(B7=0,0,(C7-B7)/B7)</f>
        <v>0.163</v>
      </c>
      <c r="F7" s="5" t="str">
        <f>IF(AND(C7&gt;0,C7&gt;B7*1.1),"OVER","ok")</f>
        <v>OVER</v>
      </c>
      <c r="G7" s="5" t="s">
        <v>1156</v>
      </c>
    </row>
    <row r="8" spans="1:7">
      <c r="A8" s="5" t="s">
        <v>325</v>
      </c>
      <c r="B8" s="6">
        <v>18072.48</v>
      </c>
      <c r="C8" s="6">
        <v>17762.04</v>
      </c>
      <c r="D8" s="6">
        <f>C8-B8</f>
        <v>-310.44</v>
      </c>
      <c r="E8" s="9">
        <f>IF(B8=0,0,(C8-B8)/B8)</f>
        <v>-0.017</v>
      </c>
      <c r="F8" s="5" t="str">
        <f>IF(AND(C8&gt;0,C8&gt;B8*1.1),"OVER","ok")</f>
        <v>ok</v>
      </c>
      <c r="G8" s="5" t="s">
        <v>1157</v>
      </c>
    </row>
    <row r="9" spans="1:7">
      <c r="A9" s="5" t="s">
        <v>375</v>
      </c>
      <c r="B9" s="6">
        <v>4808.83</v>
      </c>
      <c r="C9" s="6">
        <v>7518.6</v>
      </c>
      <c r="D9" s="6">
        <f>C9-B9</f>
        <v>2709.77</v>
      </c>
      <c r="E9" s="9">
        <f>IF(B9=0,0,(C9-B9)/B9)</f>
        <v>0.563</v>
      </c>
      <c r="F9" s="5" t="str">
        <f>IF(AND(C9&gt;0,C9&gt;B9*1.1),"OVER","ok")</f>
        <v>OVER</v>
      </c>
      <c r="G9" s="5" t="s">
        <v>1158</v>
      </c>
    </row>
    <row r="10" spans="1:7">
      <c r="A10" s="5" t="s">
        <v>356</v>
      </c>
      <c r="B10" s="6">
        <v>5013.55</v>
      </c>
      <c r="C10" s="6">
        <v>7516.98</v>
      </c>
      <c r="D10" s="6">
        <f>C10-B10</f>
        <v>2503.43</v>
      </c>
      <c r="E10" s="9">
        <f>IF(B10=0,0,(C10-B10)/B10)</f>
        <v>0.499</v>
      </c>
      <c r="F10" s="5" t="str">
        <f>IF(AND(C10&gt;0,C10&gt;B10*1.1),"OVER","ok")</f>
        <v>OVER</v>
      </c>
      <c r="G10" s="5" t="s">
        <v>1159</v>
      </c>
    </row>
    <row r="11" spans="1:7">
      <c r="A11" s="10" t="s">
        <v>1160</v>
      </c>
      <c r="B11" s="13">
        <f>SUM(B6:B10)</f>
        <v>55149.06</v>
      </c>
      <c r="C11" s="13">
        <f>SUM(C6:C10)</f>
        <v>64323.0</v>
      </c>
      <c r="D11" s="13">
        <f>C11-B11</f>
        <v>9173.94</v>
      </c>
      <c r="E11" s="9">
        <f>(C11-B11)/B11</f>
        <v>0.166</v>
      </c>
      <c r="F11" s="5" t="str">
        <f>IF(AND(C11&gt;0,C11&gt;B11*1.1),"OVER","ok")</f>
        <v>OVER</v>
      </c>
    </row>
    <row r="13" spans="1:7">
      <c r="A13" s="10" t="s">
        <v>1161</v>
      </c>
    </row>
    <row r="14" spans="1:7">
      <c r="A14" s="4" t="s">
        <v>321</v>
      </c>
      <c r="B14" s="4" t="s">
        <v>1149</v>
      </c>
      <c r="C14" s="4" t="s">
        <v>1150</v>
      </c>
      <c r="D14" s="4" t="s">
        <v>1151</v>
      </c>
      <c r="E14" s="4" t="s">
        <v>1152</v>
      </c>
      <c r="F14" s="4" t="s">
        <v>1153</v>
      </c>
      <c r="G14" s="4" t="s">
        <v>1154</v>
      </c>
    </row>
    <row r="15" spans="1:7">
      <c r="A15" s="5" t="s">
        <v>340</v>
      </c>
      <c r="B15" s="6">
        <v>10835.73</v>
      </c>
      <c r="C15" s="6">
        <v>12068.28</v>
      </c>
      <c r="D15" s="6">
        <f>C15-B15</f>
        <v>1232.55</v>
      </c>
      <c r="E15" s="9">
        <f>IF(B15=0,0,(C15-B15)/B15)</f>
        <v>0.114</v>
      </c>
      <c r="F15" s="5" t="str">
        <f>IF(AND(C15&gt;0,C15&gt;B15*1.1),"OVER","ok")</f>
        <v>OVER</v>
      </c>
      <c r="G15" s="5" t="s">
        <v>1162</v>
      </c>
    </row>
    <row r="16" spans="1:7">
      <c r="A16" s="5" t="s">
        <v>329</v>
      </c>
      <c r="B16" s="6">
        <v>8342.98</v>
      </c>
      <c r="C16" s="6">
        <v>8742.42</v>
      </c>
      <c r="D16" s="6">
        <f>C16-B16</f>
        <v>399.44</v>
      </c>
      <c r="E16" s="9">
        <f>IF(B16=0,0,(C16-B16)/B16)</f>
        <v>0.048</v>
      </c>
      <c r="F16" s="5" t="str">
        <f>IF(AND(C16&gt;0,C16&gt;B16*1.1),"OVER","ok")</f>
        <v>ok</v>
      </c>
      <c r="G16" s="5" t="s">
        <v>1163</v>
      </c>
    </row>
    <row r="17" spans="1:7">
      <c r="A17" s="5" t="s">
        <v>325</v>
      </c>
      <c r="B17" s="6">
        <v>21770.68</v>
      </c>
      <c r="C17" s="6">
        <v>20095.92</v>
      </c>
      <c r="D17" s="6">
        <f>C17-B17</f>
        <v>-1674.76</v>
      </c>
      <c r="E17" s="9">
        <f>IF(B17=0,0,(C17-B17)/B17)</f>
        <v>-0.077</v>
      </c>
      <c r="F17" s="5" t="str">
        <f>IF(AND(C17&gt;0,C17&gt;B17*1.1),"OVER","ok")</f>
        <v>ok</v>
      </c>
      <c r="G17" s="5" t="s">
        <v>1164</v>
      </c>
    </row>
    <row r="18" spans="1:7">
      <c r="A18" s="5" t="s">
        <v>375</v>
      </c>
      <c r="B18" s="6">
        <v>5328.36</v>
      </c>
      <c r="C18" s="6">
        <v>7719.3</v>
      </c>
      <c r="D18" s="6">
        <f>C18-B18</f>
        <v>2390.94</v>
      </c>
      <c r="E18" s="9">
        <f>IF(B18=0,0,(C18-B18)/B18)</f>
        <v>0.449</v>
      </c>
      <c r="F18" s="5" t="str">
        <f>IF(AND(C18&gt;0,C18&gt;B18*1.1),"OVER","ok")</f>
        <v>OVER</v>
      </c>
      <c r="G18" s="5" t="s">
        <v>1165</v>
      </c>
    </row>
    <row r="19" spans="1:7">
      <c r="A19" s="5" t="s">
        <v>356</v>
      </c>
      <c r="B19" s="6">
        <v>4627.78</v>
      </c>
      <c r="C19" s="6">
        <v>8424.719999999999</v>
      </c>
      <c r="D19" s="6">
        <f>C19-B19</f>
        <v>3796.94</v>
      </c>
      <c r="E19" s="9">
        <f>IF(B19=0,0,(C19-B19)/B19)</f>
        <v>0.82</v>
      </c>
      <c r="F19" s="5" t="str">
        <f>IF(AND(C19&gt;0,C19&gt;B19*1.1),"OVER","ok")</f>
        <v>OVER</v>
      </c>
      <c r="G19" s="5" t="s">
        <v>1159</v>
      </c>
    </row>
    <row r="20" spans="1:7">
      <c r="A20" s="10" t="s">
        <v>1160</v>
      </c>
      <c r="B20" s="13">
        <f>SUM(B15:B19)</f>
        <v>50905.53</v>
      </c>
      <c r="C20" s="13">
        <f>SUM(C15:C19)</f>
        <v>57050.64</v>
      </c>
      <c r="D20" s="13">
        <f>C20-B20</f>
        <v>6145.11</v>
      </c>
      <c r="E20" s="9">
        <f>(C20-B20)/B20</f>
        <v>0.121</v>
      </c>
      <c r="F20" s="5" t="str">
        <f>IF(AND(C20&gt;0,C20&gt;B20*1.1),"OVER","ok")</f>
        <v>OVER</v>
      </c>
    </row>
    <row r="22" spans="1:7">
      <c r="A22" s="10" t="s">
        <v>1166</v>
      </c>
    </row>
    <row r="23" spans="1:7">
      <c r="A23" s="4" t="s">
        <v>321</v>
      </c>
      <c r="B23" s="4" t="s">
        <v>1149</v>
      </c>
      <c r="C23" s="4" t="s">
        <v>1150</v>
      </c>
      <c r="D23" s="4" t="s">
        <v>1151</v>
      </c>
      <c r="E23" s="4" t="s">
        <v>1152</v>
      </c>
      <c r="F23" s="4" t="s">
        <v>1153</v>
      </c>
      <c r="G23" s="4" t="s">
        <v>1154</v>
      </c>
    </row>
    <row r="24" spans="1:7">
      <c r="A24" s="5" t="s">
        <v>340</v>
      </c>
      <c r="B24" s="6">
        <v>19339.87</v>
      </c>
      <c r="C24" s="6">
        <v>18729</v>
      </c>
      <c r="D24" s="6">
        <f>C24-B24</f>
        <v>-610.87</v>
      </c>
      <c r="E24" s="9">
        <f>IF(B24=0,0,(C24-B24)/B24)</f>
        <v>-0.032</v>
      </c>
      <c r="F24" s="5" t="str">
        <f>IF(AND(C24&gt;0,C24&gt;B24*1.1),"OVER","ok")</f>
        <v>ok</v>
      </c>
      <c r="G24" s="5" t="s">
        <v>1167</v>
      </c>
    </row>
    <row r="25" spans="1:7">
      <c r="A25" s="5" t="s">
        <v>329</v>
      </c>
      <c r="B25" s="6">
        <v>11794.33</v>
      </c>
      <c r="C25" s="6">
        <v>14233.68</v>
      </c>
      <c r="D25" s="6">
        <f>C25-B25</f>
        <v>2439.35</v>
      </c>
      <c r="E25" s="9">
        <f>IF(B25=0,0,(C25-B25)/B25)</f>
        <v>0.207</v>
      </c>
      <c r="F25" s="5" t="str">
        <f>IF(AND(C25&gt;0,C25&gt;B25*1.1),"OVER","ok")</f>
        <v>OVER</v>
      </c>
      <c r="G25" s="5" t="s">
        <v>1168</v>
      </c>
    </row>
    <row r="26" spans="1:7">
      <c r="A26" s="5" t="s">
        <v>325</v>
      </c>
      <c r="B26" s="6">
        <v>27817.27</v>
      </c>
      <c r="C26" s="6">
        <v>31575.78</v>
      </c>
      <c r="D26" s="6">
        <f>C26-B26</f>
        <v>3758.51</v>
      </c>
      <c r="E26" s="9">
        <f>IF(B26=0,0,(C26-B26)/B26)</f>
        <v>0.135</v>
      </c>
      <c r="F26" s="5" t="str">
        <f>IF(AND(C26&gt;0,C26&gt;B26*1.1),"OVER","ok")</f>
        <v>OVER</v>
      </c>
      <c r="G26" s="5" t="s">
        <v>1169</v>
      </c>
    </row>
    <row r="27" spans="1:7">
      <c r="A27" s="5" t="s">
        <v>375</v>
      </c>
      <c r="B27" s="6">
        <v>5304.29</v>
      </c>
      <c r="C27" s="6">
        <v>5112.9</v>
      </c>
      <c r="D27" s="6">
        <f>C27-B27</f>
        <v>-191.39</v>
      </c>
      <c r="E27" s="9">
        <f>IF(B27=0,0,(C27-B27)/B27)</f>
        <v>-0.036000000000000004</v>
      </c>
      <c r="F27" s="5" t="str">
        <f>IF(AND(C27&gt;0,C27&gt;B27*1.1),"OVER","ok")</f>
        <v>ok</v>
      </c>
      <c r="G27" s="5" t="s">
        <v>1170</v>
      </c>
    </row>
    <row r="28" spans="1:7">
      <c r="A28" s="5" t="s">
        <v>356</v>
      </c>
      <c r="B28" s="6">
        <v>6425.58</v>
      </c>
      <c r="C28" s="6">
        <v>7459.2</v>
      </c>
      <c r="D28" s="6">
        <f>C28-B28</f>
        <v>1033.62</v>
      </c>
      <c r="E28" s="9">
        <f>IF(B28=0,0,(C28-B28)/B28)</f>
        <v>0.161</v>
      </c>
      <c r="F28" s="5" t="str">
        <f>IF(AND(C28&gt;0,C28&gt;B28*1.1),"OVER","ok")</f>
        <v>OVER</v>
      </c>
      <c r="G28" s="5" t="s">
        <v>1159</v>
      </c>
    </row>
    <row r="29" spans="1:7">
      <c r="A29" s="10" t="s">
        <v>1160</v>
      </c>
      <c r="B29" s="13">
        <f>SUM(B24:B28)</f>
        <v>70681.34</v>
      </c>
      <c r="C29" s="13">
        <f>SUM(C24:C28)</f>
        <v>77110.56</v>
      </c>
      <c r="D29" s="13">
        <f>C29-B29</f>
        <v>6429.22</v>
      </c>
      <c r="E29" s="9">
        <f>(C29-B29)/B29</f>
        <v>0.091</v>
      </c>
      <c r="F29" s="5" t="str">
        <f>IF(AND(C29&gt;0,C29&gt;B29*1.1),"OVER","ok")</f>
        <v>ok</v>
      </c>
    </row>
    <row r="31" spans="1:7">
      <c r="A31" s="10" t="s">
        <v>1171</v>
      </c>
    </row>
    <row r="32" spans="1:7">
      <c r="A32" s="4" t="s">
        <v>321</v>
      </c>
      <c r="B32" s="4" t="s">
        <v>1149</v>
      </c>
      <c r="C32" s="4" t="s">
        <v>1150</v>
      </c>
      <c r="D32" s="4" t="s">
        <v>1151</v>
      </c>
      <c r="E32" s="4" t="s">
        <v>1152</v>
      </c>
      <c r="F32" s="4" t="s">
        <v>1153</v>
      </c>
      <c r="G32" s="4" t="s">
        <v>1154</v>
      </c>
    </row>
    <row r="33" spans="1:7">
      <c r="A33" s="5" t="s">
        <v>340</v>
      </c>
      <c r="B33" s="6">
        <v>8703.469999999999</v>
      </c>
      <c r="C33" s="6">
        <v>8239.139999999999</v>
      </c>
      <c r="D33" s="6">
        <f>C33-B33</f>
        <v>-464.33</v>
      </c>
      <c r="E33" s="9">
        <f>IF(B33=0,0,(C33-B33)/B33)</f>
        <v>-0.053</v>
      </c>
      <c r="F33" s="5" t="str">
        <f>IF(AND(C33&gt;0,C33&gt;B33*1.1),"OVER","ok")</f>
        <v>ok</v>
      </c>
      <c r="G33" s="5" t="s">
        <v>1172</v>
      </c>
    </row>
    <row r="34" spans="1:7">
      <c r="A34" s="5" t="s">
        <v>329</v>
      </c>
      <c r="B34" s="6">
        <v>17534.84</v>
      </c>
      <c r="C34" s="6">
        <v>13959.36</v>
      </c>
      <c r="D34" s="6">
        <f>C34-B34</f>
        <v>-3575.48</v>
      </c>
      <c r="E34" s="9">
        <f>IF(B34=0,0,(C34-B34)/B34)</f>
        <v>-0.204</v>
      </c>
      <c r="F34" s="5" t="str">
        <f>IF(AND(C34&gt;0,C34&gt;B34*1.1),"OVER","ok")</f>
        <v>ok</v>
      </c>
      <c r="G34" s="5" t="s">
        <v>1173</v>
      </c>
    </row>
    <row r="35" spans="1:7">
      <c r="A35" s="5" t="s">
        <v>325</v>
      </c>
      <c r="B35" s="6">
        <v>55055.91</v>
      </c>
      <c r="C35" s="6">
        <v>65201.94</v>
      </c>
      <c r="D35" s="6">
        <f>C35-B35</f>
        <v>10146.03</v>
      </c>
      <c r="E35" s="9">
        <f>IF(B35=0,0,(C35-B35)/B35)</f>
        <v>0.184</v>
      </c>
      <c r="F35" s="5" t="str">
        <f>IF(AND(C35&gt;0,C35&gt;B35*1.1),"OVER","ok")</f>
        <v>OVER</v>
      </c>
      <c r="G35" s="5" t="s">
        <v>1174</v>
      </c>
    </row>
    <row r="36" spans="1:7">
      <c r="A36" s="5" t="s">
        <v>375</v>
      </c>
      <c r="B36" s="6">
        <v>7872.8</v>
      </c>
      <c r="C36" s="6">
        <v>8505.9</v>
      </c>
      <c r="D36" s="6">
        <f>C36-B36</f>
        <v>633.1</v>
      </c>
      <c r="E36" s="9">
        <f>IF(B36=0,0,(C36-B36)/B36)</f>
        <v>0.08</v>
      </c>
      <c r="F36" s="5" t="str">
        <f>IF(AND(C36&gt;0,C36&gt;B36*1.1),"OVER","ok")</f>
        <v>ok</v>
      </c>
      <c r="G36" s="5" t="s">
        <v>1175</v>
      </c>
    </row>
    <row r="37" spans="1:7">
      <c r="A37" s="5" t="s">
        <v>356</v>
      </c>
      <c r="B37" s="6">
        <v>8916.700000000001</v>
      </c>
      <c r="C37" s="6">
        <v>10914.48</v>
      </c>
      <c r="D37" s="6">
        <f>C37-B37</f>
        <v>1997.78</v>
      </c>
      <c r="E37" s="9">
        <f>IF(B37=0,0,(C37-B37)/B37)</f>
        <v>0.22399999999999998</v>
      </c>
      <c r="F37" s="5" t="str">
        <f>IF(AND(C37&gt;0,C37&gt;B37*1.1),"OVER","ok")</f>
        <v>OVER</v>
      </c>
      <c r="G37" s="5" t="s">
        <v>1159</v>
      </c>
    </row>
    <row r="38" spans="1:7">
      <c r="A38" s="10" t="s">
        <v>1160</v>
      </c>
      <c r="B38" s="13">
        <f>SUM(B33:B37)</f>
        <v>98083.72</v>
      </c>
      <c r="C38" s="13">
        <f>SUM(C33:C37)</f>
        <v>106820.82</v>
      </c>
      <c r="D38" s="13">
        <f>C38-B38</f>
        <v>8737.1</v>
      </c>
      <c r="E38" s="9">
        <f>(C38-B38)/B38</f>
        <v>0.08900000000000001</v>
      </c>
      <c r="F38" s="5" t="str">
        <f>IF(AND(C38&gt;0,C38&gt;B38*1.1),"OVER","ok")</f>
        <v>ok</v>
      </c>
    </row>
    <row r="40" spans="1:7">
      <c r="A40" s="10" t="s">
        <v>1176</v>
      </c>
    </row>
    <row r="41" spans="1:7">
      <c r="A41" s="4" t="s">
        <v>321</v>
      </c>
      <c r="B41" s="4" t="s">
        <v>1149</v>
      </c>
      <c r="C41" s="4" t="s">
        <v>1150</v>
      </c>
      <c r="D41" s="4" t="s">
        <v>1151</v>
      </c>
      <c r="E41" s="4" t="s">
        <v>1152</v>
      </c>
      <c r="F41" s="4" t="s">
        <v>1153</v>
      </c>
      <c r="G41" s="4" t="s">
        <v>1154</v>
      </c>
    </row>
    <row r="42" spans="1:7">
      <c r="A42" s="5" t="s">
        <v>340</v>
      </c>
      <c r="B42" s="6">
        <v>13287.72</v>
      </c>
      <c r="C42" s="6">
        <v>13689.18</v>
      </c>
      <c r="D42" s="6">
        <f>C42-B42</f>
        <v>401.46</v>
      </c>
      <c r="E42" s="9">
        <f>IF(B42=0,0,(C42-B42)/B42)</f>
        <v>0.03</v>
      </c>
      <c r="F42" s="5" t="str">
        <f>IF(AND(C42&gt;0,C42&gt;B42*1.1),"OVER","ok")</f>
        <v>ok</v>
      </c>
      <c r="G42" s="5" t="s">
        <v>1177</v>
      </c>
    </row>
    <row r="43" spans="1:7">
      <c r="A43" s="5" t="s">
        <v>329</v>
      </c>
      <c r="B43" s="6">
        <v>34867.6</v>
      </c>
      <c r="C43" s="6">
        <v>36432</v>
      </c>
      <c r="D43" s="6">
        <f>C43-B43</f>
        <v>1564.4</v>
      </c>
      <c r="E43" s="9">
        <f>IF(B43=0,0,(C43-B43)/B43)</f>
        <v>0.045</v>
      </c>
      <c r="F43" s="5" t="str">
        <f>IF(AND(C43&gt;0,C43&gt;B43*1.1),"OVER","ok")</f>
        <v>ok</v>
      </c>
      <c r="G43" s="5" t="s">
        <v>1178</v>
      </c>
    </row>
    <row r="44" spans="1:7">
      <c r="A44" s="5" t="s">
        <v>325</v>
      </c>
      <c r="B44" s="6">
        <v>24762.97</v>
      </c>
      <c r="C44" s="6">
        <v>26943.84</v>
      </c>
      <c r="D44" s="6">
        <f>C44-B44</f>
        <v>2180.87</v>
      </c>
      <c r="E44" s="9">
        <f>IF(B44=0,0,(C44-B44)/B44)</f>
        <v>0.08800000000000001</v>
      </c>
      <c r="F44" s="5" t="str">
        <f>IF(AND(C44&gt;0,C44&gt;B44*1.1),"OVER","ok")</f>
        <v>ok</v>
      </c>
      <c r="G44" s="5" t="s">
        <v>1179</v>
      </c>
    </row>
    <row r="45" spans="1:7">
      <c r="A45" s="5" t="s">
        <v>375</v>
      </c>
      <c r="B45" s="6">
        <v>6377.91</v>
      </c>
      <c r="C45" s="6">
        <v>8796.24</v>
      </c>
      <c r="D45" s="6">
        <f>C45-B45</f>
        <v>2418.33</v>
      </c>
      <c r="E45" s="9">
        <f>IF(B45=0,0,(C45-B45)/B45)</f>
        <v>0.379</v>
      </c>
      <c r="F45" s="5" t="str">
        <f>IF(AND(C45&gt;0,C45&gt;B45*1.1),"OVER","ok")</f>
        <v>OVER</v>
      </c>
      <c r="G45" s="5" t="s">
        <v>1180</v>
      </c>
    </row>
    <row r="46" spans="1:7">
      <c r="A46" s="5" t="s">
        <v>356</v>
      </c>
      <c r="B46" s="6">
        <v>7929.62</v>
      </c>
      <c r="C46" s="6">
        <v>8789.4</v>
      </c>
      <c r="D46" s="6">
        <f>C46-B46</f>
        <v>859.78</v>
      </c>
      <c r="E46" s="9">
        <f>IF(B46=0,0,(C46-B46)/B46)</f>
        <v>0.10800000000000001</v>
      </c>
      <c r="F46" s="5" t="str">
        <f>IF(AND(C46&gt;0,C46&gt;B46*1.1),"OVER","ok")</f>
        <v>OVER</v>
      </c>
      <c r="G46" s="5" t="s">
        <v>1159</v>
      </c>
    </row>
    <row r="47" spans="1:7">
      <c r="A47" s="10" t="s">
        <v>1160</v>
      </c>
      <c r="B47" s="13">
        <f>SUM(B42:B46)</f>
        <v>87225.82</v>
      </c>
      <c r="C47" s="13">
        <f>SUM(C42:C46)</f>
        <v>94650.66</v>
      </c>
      <c r="D47" s="13">
        <f>C47-B47</f>
        <v>7424.84</v>
      </c>
      <c r="E47" s="9">
        <f>(C47-B47)/B47</f>
        <v>0.085</v>
      </c>
      <c r="F47" s="5" t="str">
        <f>IF(AND(C47&gt;0,C47&gt;B47*1.1),"OVER","ok")</f>
        <v>ok</v>
      </c>
    </row>
    <row r="49" spans="1:7">
      <c r="A49" s="10" t="s">
        <v>1181</v>
      </c>
    </row>
    <row r="50" spans="1:7">
      <c r="A50" s="4" t="s">
        <v>321</v>
      </c>
      <c r="B50" s="4" t="s">
        <v>1149</v>
      </c>
      <c r="C50" s="4" t="s">
        <v>1150</v>
      </c>
      <c r="D50" s="4" t="s">
        <v>1151</v>
      </c>
      <c r="E50" s="4" t="s">
        <v>1152</v>
      </c>
      <c r="F50" s="4" t="s">
        <v>1153</v>
      </c>
      <c r="G50" s="4" t="s">
        <v>1154</v>
      </c>
    </row>
    <row r="51" spans="1:7">
      <c r="A51" s="5" t="s">
        <v>340</v>
      </c>
      <c r="B51" s="6">
        <v>18464.79</v>
      </c>
      <c r="C51" s="6">
        <v>19152.72</v>
      </c>
      <c r="D51" s="6">
        <f>C51-B51</f>
        <v>687.93</v>
      </c>
      <c r="E51" s="9">
        <f>IF(B51=0,0,(C51-B51)/B51)</f>
        <v>0.037000000000000005</v>
      </c>
      <c r="F51" s="5" t="str">
        <f>IF(AND(C51&gt;0,C51&gt;B51*1.1),"OVER","ok")</f>
        <v>ok</v>
      </c>
      <c r="G51" s="5" t="s">
        <v>1182</v>
      </c>
    </row>
    <row r="52" spans="1:7">
      <c r="A52" s="5" t="s">
        <v>329</v>
      </c>
      <c r="B52" s="6">
        <v>12647.67</v>
      </c>
      <c r="C52" s="6">
        <v>12369.96</v>
      </c>
      <c r="D52" s="6">
        <f>C52-B52</f>
        <v>-277.71</v>
      </c>
      <c r="E52" s="9">
        <f>IF(B52=0,0,(C52-B52)/B52)</f>
        <v>-0.022000000000000002</v>
      </c>
      <c r="F52" s="5" t="str">
        <f>IF(AND(C52&gt;0,C52&gt;B52*1.1),"OVER","ok")</f>
        <v>ok</v>
      </c>
      <c r="G52" s="5" t="s">
        <v>1183</v>
      </c>
    </row>
    <row r="53" spans="1:7">
      <c r="A53" s="5" t="s">
        <v>325</v>
      </c>
      <c r="B53" s="6">
        <v>20080.12</v>
      </c>
      <c r="C53" s="6">
        <v>20947.68</v>
      </c>
      <c r="D53" s="6">
        <f>C53-B53</f>
        <v>867.56</v>
      </c>
      <c r="E53" s="9">
        <f>IF(B53=0,0,(C53-B53)/B53)</f>
        <v>0.043</v>
      </c>
      <c r="F53" s="5" t="str">
        <f>IF(AND(C53&gt;0,C53&gt;B53*1.1),"OVER","ok")</f>
        <v>ok</v>
      </c>
      <c r="G53" s="5" t="s">
        <v>1184</v>
      </c>
    </row>
    <row r="54" spans="1:7">
      <c r="A54" s="5" t="s">
        <v>375</v>
      </c>
      <c r="B54" s="6">
        <v>5594.62</v>
      </c>
      <c r="C54" s="6">
        <v>7706.88</v>
      </c>
      <c r="D54" s="6">
        <f>C54-B54</f>
        <v>2112.26</v>
      </c>
      <c r="E54" s="9">
        <f>IF(B54=0,0,(C54-B54)/B54)</f>
        <v>0.37799999999999995</v>
      </c>
      <c r="F54" s="5" t="str">
        <f>IF(AND(C54&gt;0,C54&gt;B54*1.1),"OVER","ok")</f>
        <v>OVER</v>
      </c>
      <c r="G54" s="5" t="s">
        <v>1185</v>
      </c>
    </row>
    <row r="55" spans="1:7">
      <c r="A55" s="5" t="s">
        <v>356</v>
      </c>
      <c r="B55" s="6">
        <v>5678.72</v>
      </c>
      <c r="C55" s="6">
        <v>7506.18</v>
      </c>
      <c r="D55" s="6">
        <f>C55-B55</f>
        <v>1827.46</v>
      </c>
      <c r="E55" s="9">
        <f>IF(B55=0,0,(C55-B55)/B55)</f>
        <v>0.322</v>
      </c>
      <c r="F55" s="5" t="str">
        <f>IF(AND(C55&gt;0,C55&gt;B55*1.1),"OVER","ok")</f>
        <v>OVER</v>
      </c>
      <c r="G55" s="5" t="s">
        <v>1159</v>
      </c>
    </row>
    <row r="56" spans="1:7">
      <c r="A56" s="10" t="s">
        <v>1160</v>
      </c>
      <c r="B56" s="13">
        <f>SUM(B51:B55)</f>
        <v>62465.92</v>
      </c>
      <c r="C56" s="13">
        <f>SUM(C51:C55)</f>
        <v>67683.42</v>
      </c>
      <c r="D56" s="13">
        <f>C56-B56</f>
        <v>5217.5</v>
      </c>
      <c r="E56" s="9">
        <f>(C56-B56)/B56</f>
        <v>0.084</v>
      </c>
      <c r="F56" s="5" t="str">
        <f>IF(AND(C56&gt;0,C56&gt;B56*1.1),"OVER","ok")</f>
        <v>ok</v>
      </c>
    </row>
    <row r="58" spans="1:7">
      <c r="A58" s="10" t="s">
        <v>1186</v>
      </c>
    </row>
    <row r="59" spans="1:7">
      <c r="A59" s="4" t="s">
        <v>321</v>
      </c>
      <c r="B59" s="4" t="s">
        <v>1149</v>
      </c>
      <c r="C59" s="4" t="s">
        <v>1150</v>
      </c>
      <c r="D59" s="4" t="s">
        <v>1151</v>
      </c>
      <c r="E59" s="4" t="s">
        <v>1152</v>
      </c>
      <c r="F59" s="4" t="s">
        <v>1153</v>
      </c>
      <c r="G59" s="4" t="s">
        <v>1154</v>
      </c>
    </row>
    <row r="60" spans="1:7">
      <c r="A60" s="5" t="s">
        <v>340</v>
      </c>
      <c r="B60" s="6">
        <v>13201.19</v>
      </c>
      <c r="C60" s="6">
        <v>15974.82</v>
      </c>
      <c r="D60" s="6">
        <f>C60-B60</f>
        <v>2773.63</v>
      </c>
      <c r="E60" s="9">
        <f>IF(B60=0,0,(C60-B60)/B60)</f>
        <v>0.21</v>
      </c>
      <c r="F60" s="5" t="str">
        <f>IF(AND(C60&gt;0,C60&gt;B60*1.1),"OVER","ok")</f>
        <v>OVER</v>
      </c>
      <c r="G60" s="5" t="s">
        <v>1187</v>
      </c>
    </row>
    <row r="61" spans="1:7">
      <c r="A61" s="5" t="s">
        <v>329</v>
      </c>
      <c r="B61" s="6">
        <v>17671.76</v>
      </c>
      <c r="C61" s="6">
        <v>18535.86</v>
      </c>
      <c r="D61" s="6">
        <f>C61-B61</f>
        <v>864.1</v>
      </c>
      <c r="E61" s="9">
        <f>IF(B61=0,0,(C61-B61)/B61)</f>
        <v>0.049</v>
      </c>
      <c r="F61" s="5" t="str">
        <f>IF(AND(C61&gt;0,C61&gt;B61*1.1),"OVER","ok")</f>
        <v>ok</v>
      </c>
      <c r="G61" s="5" t="s">
        <v>1188</v>
      </c>
    </row>
    <row r="62" spans="1:7">
      <c r="A62" s="5" t="s">
        <v>325</v>
      </c>
      <c r="B62" s="6">
        <v>39523.83</v>
      </c>
      <c r="C62" s="6">
        <v>40477.5</v>
      </c>
      <c r="D62" s="6">
        <f>C62-B62</f>
        <v>953.67</v>
      </c>
      <c r="E62" s="9">
        <f>IF(B62=0,0,(C62-B62)/B62)</f>
        <v>0.024</v>
      </c>
      <c r="F62" s="5" t="str">
        <f>IF(AND(C62&gt;0,C62&gt;B62*1.1),"OVER","ok")</f>
        <v>ok</v>
      </c>
      <c r="G62" s="5" t="s">
        <v>1189</v>
      </c>
    </row>
    <row r="63" spans="1:7">
      <c r="A63" s="5" t="s">
        <v>375</v>
      </c>
      <c r="B63" s="6">
        <v>7308.23</v>
      </c>
      <c r="C63" s="6">
        <v>8940.6</v>
      </c>
      <c r="D63" s="6">
        <f>C63-B63</f>
        <v>1632.37</v>
      </c>
      <c r="E63" s="9">
        <f>IF(B63=0,0,(C63-B63)/B63)</f>
        <v>0.223</v>
      </c>
      <c r="F63" s="5" t="str">
        <f>IF(AND(C63&gt;0,C63&gt;B63*1.1),"OVER","ok")</f>
        <v>OVER</v>
      </c>
      <c r="G63" s="5" t="s">
        <v>1190</v>
      </c>
    </row>
    <row r="64" spans="1:7">
      <c r="A64" s="5" t="s">
        <v>356</v>
      </c>
      <c r="B64" s="6">
        <v>7770.5</v>
      </c>
      <c r="C64" s="6">
        <v>8468.639999999999</v>
      </c>
      <c r="D64" s="6">
        <f>C64-B64</f>
        <v>698.14</v>
      </c>
      <c r="E64" s="9">
        <f>IF(B64=0,0,(C64-B64)/B64)</f>
        <v>0.09</v>
      </c>
      <c r="F64" s="5" t="str">
        <f>IF(AND(C64&gt;0,C64&gt;B64*1.1),"OVER","ok")</f>
        <v>ok</v>
      </c>
      <c r="G64" s="5" t="s">
        <v>1159</v>
      </c>
    </row>
    <row r="65" spans="1:7">
      <c r="A65" s="10" t="s">
        <v>1160</v>
      </c>
      <c r="B65" s="13">
        <f>SUM(B60:B64)</f>
        <v>85475.51</v>
      </c>
      <c r="C65" s="13">
        <f>SUM(C60:C64)</f>
        <v>92397.42</v>
      </c>
      <c r="D65" s="13">
        <f>C65-B65</f>
        <v>6921.91</v>
      </c>
      <c r="E65" s="9">
        <f>(C65-B65)/B65</f>
        <v>0.081</v>
      </c>
      <c r="F65" s="5" t="str">
        <f>IF(AND(C65&gt;0,C65&gt;B65*1.1),"OVER","ok")</f>
        <v>ok</v>
      </c>
    </row>
    <row r="67" spans="1:7">
      <c r="A67" s="10" t="s">
        <v>1191</v>
      </c>
    </row>
    <row r="68" spans="1:7">
      <c r="A68" s="4" t="s">
        <v>321</v>
      </c>
      <c r="B68" s="4" t="s">
        <v>1149</v>
      </c>
      <c r="C68" s="4" t="s">
        <v>1150</v>
      </c>
      <c r="D68" s="4" t="s">
        <v>1151</v>
      </c>
      <c r="E68" s="4" t="s">
        <v>1152</v>
      </c>
      <c r="F68" s="4" t="s">
        <v>1153</v>
      </c>
      <c r="G68" s="4" t="s">
        <v>1154</v>
      </c>
    </row>
    <row r="69" spans="1:7">
      <c r="A69" s="5" t="s">
        <v>340</v>
      </c>
      <c r="B69" s="6">
        <v>15565.93</v>
      </c>
      <c r="C69" s="6">
        <v>15802.74</v>
      </c>
      <c r="D69" s="6">
        <f>C69-B69</f>
        <v>236.81</v>
      </c>
      <c r="E69" s="9">
        <f>IF(B69=0,0,(C69-B69)/B69)</f>
        <v>0.015</v>
      </c>
      <c r="F69" s="5" t="str">
        <f>IF(AND(C69&gt;0,C69&gt;B69*1.1),"OVER","ok")</f>
        <v>ok</v>
      </c>
      <c r="G69" s="5" t="s">
        <v>1192</v>
      </c>
    </row>
    <row r="70" spans="1:7">
      <c r="A70" s="5" t="s">
        <v>329</v>
      </c>
      <c r="B70" s="6">
        <v>20946.56</v>
      </c>
      <c r="C70" s="6">
        <v>23338.26</v>
      </c>
      <c r="D70" s="6">
        <f>C70-B70</f>
        <v>2391.7</v>
      </c>
      <c r="E70" s="9">
        <f>IF(B70=0,0,(C70-B70)/B70)</f>
        <v>0.114</v>
      </c>
      <c r="F70" s="5" t="str">
        <f>IF(AND(C70&gt;0,C70&gt;B70*1.1),"OVER","ok")</f>
        <v>OVER</v>
      </c>
      <c r="G70" s="5" t="s">
        <v>1193</v>
      </c>
    </row>
    <row r="71" spans="1:7">
      <c r="A71" s="5" t="s">
        <v>325</v>
      </c>
      <c r="B71" s="6">
        <v>27446.1</v>
      </c>
      <c r="C71" s="6">
        <v>29368.8</v>
      </c>
      <c r="D71" s="6">
        <f>C71-B71</f>
        <v>1922.7</v>
      </c>
      <c r="E71" s="9">
        <f>IF(B71=0,0,(C71-B71)/B71)</f>
        <v>0.07</v>
      </c>
      <c r="F71" s="5" t="str">
        <f>IF(AND(C71&gt;0,C71&gt;B71*1.1),"OVER","ok")</f>
        <v>ok</v>
      </c>
      <c r="G71" s="5" t="s">
        <v>1194</v>
      </c>
    </row>
    <row r="72" spans="1:7">
      <c r="A72" s="5" t="s">
        <v>375</v>
      </c>
      <c r="B72" s="6">
        <v>6528.37</v>
      </c>
      <c r="C72" s="6">
        <v>7771.68</v>
      </c>
      <c r="D72" s="6">
        <f>C72-B72</f>
        <v>1243.31</v>
      </c>
      <c r="E72" s="9">
        <f>IF(B72=0,0,(C72-B72)/B72)</f>
        <v>0.19</v>
      </c>
      <c r="F72" s="5" t="str">
        <f>IF(AND(C72&gt;0,C72&gt;B72*1.1),"OVER","ok")</f>
        <v>OVER</v>
      </c>
      <c r="G72" s="5" t="s">
        <v>1195</v>
      </c>
    </row>
    <row r="73" spans="1:7">
      <c r="A73" s="5" t="s">
        <v>356</v>
      </c>
      <c r="B73" s="6">
        <v>7048.7</v>
      </c>
      <c r="C73" s="6">
        <v>7542.72</v>
      </c>
      <c r="D73" s="6">
        <f>C73-B73</f>
        <v>494.02</v>
      </c>
      <c r="E73" s="9">
        <f>IF(B73=0,0,(C73-B73)/B73)</f>
        <v>0.07</v>
      </c>
      <c r="F73" s="5" t="str">
        <f>IF(AND(C73&gt;0,C73&gt;B73*1.1),"OVER","ok")</f>
        <v>ok</v>
      </c>
      <c r="G73" s="5" t="s">
        <v>1159</v>
      </c>
    </row>
    <row r="74" spans="1:7">
      <c r="A74" s="10" t="s">
        <v>1160</v>
      </c>
      <c r="B74" s="13">
        <f>SUM(B69:B73)</f>
        <v>77535.66</v>
      </c>
      <c r="C74" s="13">
        <f>SUM(C69:C73)</f>
        <v>83824.2</v>
      </c>
      <c r="D74" s="13">
        <f>C74-B74</f>
        <v>6288.54</v>
      </c>
      <c r="E74" s="9">
        <f>(C74-B74)/B74</f>
        <v>0.081</v>
      </c>
      <c r="F74" s="5" t="str">
        <f>IF(AND(C74&gt;0,C74&gt;B74*1.1),"OVER","ok")</f>
        <v>ok</v>
      </c>
    </row>
    <row r="76" spans="1:7">
      <c r="A76" s="10" t="s">
        <v>1196</v>
      </c>
    </row>
    <row r="77" spans="1:7">
      <c r="A77" s="4" t="s">
        <v>321</v>
      </c>
      <c r="B77" s="4" t="s">
        <v>1149</v>
      </c>
      <c r="C77" s="4" t="s">
        <v>1150</v>
      </c>
      <c r="D77" s="4" t="s">
        <v>1151</v>
      </c>
      <c r="E77" s="4" t="s">
        <v>1152</v>
      </c>
      <c r="F77" s="4" t="s">
        <v>1153</v>
      </c>
      <c r="G77" s="4" t="s">
        <v>1154</v>
      </c>
    </row>
    <row r="78" spans="1:7">
      <c r="A78" s="5" t="s">
        <v>340</v>
      </c>
      <c r="B78" s="6">
        <v>17859.44</v>
      </c>
      <c r="C78" s="6">
        <v>19157.4</v>
      </c>
      <c r="D78" s="6">
        <f>C78-B78</f>
        <v>1297.96</v>
      </c>
      <c r="E78" s="9">
        <f>IF(B78=0,0,(C78-B78)/B78)</f>
        <v>0.073</v>
      </c>
      <c r="F78" s="5" t="str">
        <f>IF(AND(C78&gt;0,C78&gt;B78*1.1),"OVER","ok")</f>
        <v>ok</v>
      </c>
      <c r="G78" s="5" t="s">
        <v>1197</v>
      </c>
    </row>
    <row r="79" spans="1:7">
      <c r="A79" s="5" t="s">
        <v>329</v>
      </c>
      <c r="B79" s="6">
        <v>13260.85</v>
      </c>
      <c r="C79" s="6">
        <v>13107.6</v>
      </c>
      <c r="D79" s="6">
        <f>C79-B79</f>
        <v>-153.25</v>
      </c>
      <c r="E79" s="9">
        <f>IF(B79=0,0,(C79-B79)/B79)</f>
        <v>-0.012</v>
      </c>
      <c r="F79" s="5" t="str">
        <f>IF(AND(C79&gt;0,C79&gt;B79*1.1),"OVER","ok")</f>
        <v>ok</v>
      </c>
      <c r="G79" s="5" t="s">
        <v>1198</v>
      </c>
    </row>
    <row r="80" spans="1:7">
      <c r="A80" s="5" t="s">
        <v>325</v>
      </c>
      <c r="B80" s="6">
        <v>22264.59</v>
      </c>
      <c r="C80" s="6">
        <v>20514.96</v>
      </c>
      <c r="D80" s="6">
        <f>C80-B80</f>
        <v>-1749.63</v>
      </c>
      <c r="E80" s="9">
        <f>IF(B80=0,0,(C80-B80)/B80)</f>
        <v>-0.079</v>
      </c>
      <c r="F80" s="5" t="str">
        <f>IF(AND(C80&gt;0,C80&gt;B80*1.1),"OVER","ok")</f>
        <v>ok</v>
      </c>
      <c r="G80" s="5" t="s">
        <v>1199</v>
      </c>
    </row>
    <row r="81" spans="1:7">
      <c r="A81" s="5" t="s">
        <v>375</v>
      </c>
      <c r="B81" s="6">
        <v>4688.51</v>
      </c>
      <c r="C81" s="6">
        <v>7755.3</v>
      </c>
      <c r="D81" s="6">
        <f>C81-B81</f>
        <v>3066.79</v>
      </c>
      <c r="E81" s="9">
        <f>IF(B81=0,0,(C81-B81)/B81)</f>
        <v>0.654</v>
      </c>
      <c r="F81" s="5" t="str">
        <f>IF(AND(C81&gt;0,C81&gt;B81*1.1),"OVER","ok")</f>
        <v>OVER</v>
      </c>
      <c r="G81" s="5" t="s">
        <v>1200</v>
      </c>
    </row>
    <row r="82" spans="1:7">
      <c r="A82" s="5" t="s">
        <v>356</v>
      </c>
      <c r="B82" s="6">
        <v>5807.34</v>
      </c>
      <c r="C82" s="6">
        <v>8208.540000000001</v>
      </c>
      <c r="D82" s="6">
        <f>C82-B82</f>
        <v>2401.2</v>
      </c>
      <c r="E82" s="9">
        <f>IF(B82=0,0,(C82-B82)/B82)</f>
        <v>0.413</v>
      </c>
      <c r="F82" s="5" t="str">
        <f>IF(AND(C82&gt;0,C82&gt;B82*1.1),"OVER","ok")</f>
        <v>OVER</v>
      </c>
      <c r="G82" s="5" t="s">
        <v>1159</v>
      </c>
    </row>
    <row r="83" spans="1:7">
      <c r="A83" s="10" t="s">
        <v>1160</v>
      </c>
      <c r="B83" s="13">
        <f>SUM(B78:B82)</f>
        <v>63880.73</v>
      </c>
      <c r="C83" s="13">
        <f>SUM(C78:C82)</f>
        <v>68743.8</v>
      </c>
      <c r="D83" s="13">
        <f>C83-B83</f>
        <v>4863.07</v>
      </c>
      <c r="E83" s="9">
        <f>(C83-B83)/B83</f>
        <v>0.076</v>
      </c>
      <c r="F83" s="5" t="str">
        <f>IF(AND(C83&gt;0,C83&gt;B83*1.1),"OVER","ok")</f>
        <v>ok</v>
      </c>
    </row>
    <row r="85" spans="1:7">
      <c r="A85" s="10" t="s">
        <v>1201</v>
      </c>
    </row>
    <row r="86" spans="1:7">
      <c r="A86" s="4" t="s">
        <v>321</v>
      </c>
      <c r="B86" s="4" t="s">
        <v>1149</v>
      </c>
      <c r="C86" s="4" t="s">
        <v>1150</v>
      </c>
      <c r="D86" s="4" t="s">
        <v>1151</v>
      </c>
      <c r="E86" s="4" t="s">
        <v>1152</v>
      </c>
      <c r="F86" s="4" t="s">
        <v>1153</v>
      </c>
      <c r="G86" s="4" t="s">
        <v>1154</v>
      </c>
    </row>
    <row r="87" spans="1:7">
      <c r="A87" s="5" t="s">
        <v>340</v>
      </c>
      <c r="B87" s="6">
        <v>13555.42</v>
      </c>
      <c r="C87" s="6">
        <v>13668.48</v>
      </c>
      <c r="D87" s="6">
        <f>C87-B87</f>
        <v>113.06</v>
      </c>
      <c r="E87" s="9">
        <f>IF(B87=0,0,(C87-B87)/B87)</f>
        <v>0.008</v>
      </c>
      <c r="F87" s="5" t="str">
        <f>IF(AND(C87&gt;0,C87&gt;B87*1.1),"OVER","ok")</f>
        <v>ok</v>
      </c>
      <c r="G87" s="5" t="s">
        <v>1202</v>
      </c>
    </row>
    <row r="88" spans="1:7">
      <c r="A88" s="5" t="s">
        <v>329</v>
      </c>
      <c r="B88" s="6">
        <v>18002.82</v>
      </c>
      <c r="C88" s="6">
        <v>20228.22</v>
      </c>
      <c r="D88" s="6">
        <f>C88-B88</f>
        <v>2225.4</v>
      </c>
      <c r="E88" s="9">
        <f>IF(B88=0,0,(C88-B88)/B88)</f>
        <v>0.124</v>
      </c>
      <c r="F88" s="5" t="str">
        <f>IF(AND(C88&gt;0,C88&gt;B88*1.1),"OVER","ok")</f>
        <v>OVER</v>
      </c>
      <c r="G88" s="5" t="s">
        <v>1203</v>
      </c>
    </row>
    <row r="89" spans="1:7">
      <c r="A89" s="5" t="s">
        <v>325</v>
      </c>
      <c r="B89" s="6">
        <v>24973.48</v>
      </c>
      <c r="C89" s="6">
        <v>24364.98</v>
      </c>
      <c r="D89" s="6">
        <f>C89-B89</f>
        <v>-608.5</v>
      </c>
      <c r="E89" s="9">
        <f>IF(B89=0,0,(C89-B89)/B89)</f>
        <v>-0.024</v>
      </c>
      <c r="F89" s="5" t="str">
        <f>IF(AND(C89&gt;0,C89&gt;B89*1.1),"OVER","ok")</f>
        <v>ok</v>
      </c>
      <c r="G89" s="5" t="s">
        <v>1204</v>
      </c>
    </row>
    <row r="90" spans="1:7">
      <c r="A90" s="5" t="s">
        <v>375</v>
      </c>
      <c r="B90" s="6">
        <v>5736.04</v>
      </c>
      <c r="C90" s="6">
        <v>7491.78</v>
      </c>
      <c r="D90" s="6">
        <f>C90-B90</f>
        <v>1755.74</v>
      </c>
      <c r="E90" s="9">
        <f>IF(B90=0,0,(C90-B90)/B90)</f>
        <v>0.306</v>
      </c>
      <c r="F90" s="5" t="str">
        <f>IF(AND(C90&gt;0,C90&gt;B90*1.1),"OVER","ok")</f>
        <v>OVER</v>
      </c>
      <c r="G90" s="5" t="s">
        <v>1205</v>
      </c>
    </row>
    <row r="91" spans="1:7">
      <c r="A91" s="5" t="s">
        <v>356</v>
      </c>
      <c r="B91" s="6">
        <v>6226.78</v>
      </c>
      <c r="C91" s="6">
        <v>7866.72</v>
      </c>
      <c r="D91" s="6">
        <f>C91-B91</f>
        <v>1639.94</v>
      </c>
      <c r="E91" s="9">
        <f>IF(B91=0,0,(C91-B91)/B91)</f>
        <v>0.263</v>
      </c>
      <c r="F91" s="5" t="str">
        <f>IF(AND(C91&gt;0,C91&gt;B91*1.1),"OVER","ok")</f>
        <v>OVER</v>
      </c>
      <c r="G91" s="5" t="s">
        <v>1159</v>
      </c>
    </row>
    <row r="92" spans="1:7">
      <c r="A92" s="10" t="s">
        <v>1160</v>
      </c>
      <c r="B92" s="13">
        <f>SUM(B87:B91)</f>
        <v>68494.54</v>
      </c>
      <c r="C92" s="13">
        <f>SUM(C87:C91)</f>
        <v>73620.18</v>
      </c>
      <c r="D92" s="13">
        <f>C92-B92</f>
        <v>5125.64</v>
      </c>
      <c r="E92" s="9">
        <f>(C92-B92)/B92</f>
        <v>0.075</v>
      </c>
      <c r="F92" s="5" t="str">
        <f>IF(AND(C92&gt;0,C92&gt;B92*1.1),"OVER","ok")</f>
        <v>ok</v>
      </c>
    </row>
    <row r="94" spans="1:7">
      <c r="A94" s="10" t="s">
        <v>1206</v>
      </c>
    </row>
    <row r="95" spans="1:7">
      <c r="A95" s="4" t="s">
        <v>321</v>
      </c>
      <c r="B95" s="4" t="s">
        <v>1149</v>
      </c>
      <c r="C95" s="4" t="s">
        <v>1150</v>
      </c>
      <c r="D95" s="4" t="s">
        <v>1151</v>
      </c>
      <c r="E95" s="4" t="s">
        <v>1152</v>
      </c>
      <c r="F95" s="4" t="s">
        <v>1153</v>
      </c>
      <c r="G95" s="4" t="s">
        <v>1154</v>
      </c>
    </row>
    <row r="96" spans="1:7">
      <c r="A96" s="5" t="s">
        <v>340</v>
      </c>
      <c r="B96" s="6">
        <v>18450.7</v>
      </c>
      <c r="C96" s="6">
        <v>19408.14</v>
      </c>
      <c r="D96" s="6">
        <f>C96-B96</f>
        <v>957.44</v>
      </c>
      <c r="E96" s="9">
        <f>IF(B96=0,0,(C96-B96)/B96)</f>
        <v>0.052000000000000005</v>
      </c>
      <c r="F96" s="5" t="str">
        <f>IF(AND(C96&gt;0,C96&gt;B96*1.1),"OVER","ok")</f>
        <v>ok</v>
      </c>
      <c r="G96" s="5" t="s">
        <v>1182</v>
      </c>
    </row>
    <row r="97" spans="1:7">
      <c r="A97" s="5" t="s">
        <v>329</v>
      </c>
      <c r="B97" s="6">
        <v>15465.81</v>
      </c>
      <c r="C97" s="6">
        <v>15239.34</v>
      </c>
      <c r="D97" s="6">
        <f>C97-B97</f>
        <v>-226.47</v>
      </c>
      <c r="E97" s="9">
        <f>IF(B97=0,0,(C97-B97)/B97)</f>
        <v>-0.015</v>
      </c>
      <c r="F97" s="5" t="str">
        <f>IF(AND(C97&gt;0,C97&gt;B97*1.1),"OVER","ok")</f>
        <v>ok</v>
      </c>
      <c r="G97" s="5" t="s">
        <v>1207</v>
      </c>
    </row>
    <row r="98" spans="1:7">
      <c r="A98" s="5" t="s">
        <v>325</v>
      </c>
      <c r="B98" s="6">
        <v>30813.69</v>
      </c>
      <c r="C98" s="6">
        <v>33811.02</v>
      </c>
      <c r="D98" s="6">
        <f>C98-B98</f>
        <v>2997.33</v>
      </c>
      <c r="E98" s="9">
        <f>IF(B98=0,0,(C98-B98)/B98)</f>
        <v>0.09699999999999999</v>
      </c>
      <c r="F98" s="5" t="str">
        <f>IF(AND(C98&gt;0,C98&gt;B98*1.1),"OVER","ok")</f>
        <v>ok</v>
      </c>
      <c r="G98" s="5" t="s">
        <v>1208</v>
      </c>
    </row>
    <row r="99" spans="1:7">
      <c r="A99" s="5" t="s">
        <v>375</v>
      </c>
      <c r="B99" s="6">
        <v>6887.78</v>
      </c>
      <c r="C99" s="6">
        <v>8715.6</v>
      </c>
      <c r="D99" s="6">
        <f>C99-B99</f>
        <v>1827.82</v>
      </c>
      <c r="E99" s="9">
        <f>IF(B99=0,0,(C99-B99)/B99)</f>
        <v>0.265</v>
      </c>
      <c r="F99" s="5" t="str">
        <f>IF(AND(C99&gt;0,C99&gt;B99*1.1),"OVER","ok")</f>
        <v>OVER</v>
      </c>
      <c r="G99" s="5" t="s">
        <v>1209</v>
      </c>
    </row>
    <row r="100" spans="1:7">
      <c r="A100" s="5" t="s">
        <v>356</v>
      </c>
      <c r="B100" s="6">
        <v>7161.8</v>
      </c>
      <c r="C100" s="6">
        <v>7493.22</v>
      </c>
      <c r="D100" s="6">
        <f>C100-B100</f>
        <v>331.42</v>
      </c>
      <c r="E100" s="9">
        <f>IF(B100=0,0,(C100-B100)/B100)</f>
        <v>0.046</v>
      </c>
      <c r="F100" s="5" t="str">
        <f>IF(AND(C100&gt;0,C100&gt;B100*1.1),"OVER","ok")</f>
        <v>ok</v>
      </c>
      <c r="G100" s="5" t="s">
        <v>1159</v>
      </c>
    </row>
    <row r="101" spans="1:7">
      <c r="A101" s="10" t="s">
        <v>1160</v>
      </c>
      <c r="B101" s="13">
        <f>SUM(B96:B100)</f>
        <v>78779.78</v>
      </c>
      <c r="C101" s="13">
        <f>SUM(C96:C100)</f>
        <v>84667.32</v>
      </c>
      <c r="D101" s="13">
        <f>C101-B101</f>
        <v>5887.54</v>
      </c>
      <c r="E101" s="9">
        <f>(C101-B101)/B101</f>
        <v>0.075</v>
      </c>
      <c r="F101" s="5" t="str">
        <f>IF(AND(C101&gt;0,C101&gt;B101*1.1),"OVER","ok")</f>
        <v>ok</v>
      </c>
    </row>
    <row r="103" spans="1:7">
      <c r="A103" s="10" t="s">
        <v>1210</v>
      </c>
    </row>
    <row r="104" spans="1:7">
      <c r="A104" s="4" t="s">
        <v>321</v>
      </c>
      <c r="B104" s="4" t="s">
        <v>1149</v>
      </c>
      <c r="C104" s="4" t="s">
        <v>1150</v>
      </c>
      <c r="D104" s="4" t="s">
        <v>1151</v>
      </c>
      <c r="E104" s="4" t="s">
        <v>1152</v>
      </c>
      <c r="F104" s="4" t="s">
        <v>1153</v>
      </c>
      <c r="G104" s="4" t="s">
        <v>1154</v>
      </c>
    </row>
    <row r="105" spans="1:7">
      <c r="A105" s="5" t="s">
        <v>340</v>
      </c>
      <c r="B105" s="6">
        <v>14874.28</v>
      </c>
      <c r="C105" s="6">
        <v>14878.98</v>
      </c>
      <c r="D105" s="6">
        <f>C105-B105</f>
        <v>4.7</v>
      </c>
      <c r="E105" s="9">
        <f>IF(B105=0,0,(C105-B105)/B105)</f>
        <v>0.0</v>
      </c>
      <c r="F105" s="5" t="str">
        <f>IF(AND(C105&gt;0,C105&gt;B105*1.1),"OVER","ok")</f>
        <v>ok</v>
      </c>
      <c r="G105" s="5" t="s">
        <v>1211</v>
      </c>
    </row>
    <row r="106" spans="1:7">
      <c r="A106" s="5" t="s">
        <v>329</v>
      </c>
      <c r="B106" s="6">
        <v>31391.23</v>
      </c>
      <c r="C106" s="6">
        <v>30800.52</v>
      </c>
      <c r="D106" s="6">
        <f>C106-B106</f>
        <v>-590.71</v>
      </c>
      <c r="E106" s="9">
        <f>IF(B106=0,0,(C106-B106)/B106)</f>
        <v>-0.019</v>
      </c>
      <c r="F106" s="5" t="str">
        <f>IF(AND(C106&gt;0,C106&gt;B106*1.1),"OVER","ok")</f>
        <v>ok</v>
      </c>
      <c r="G106" s="5" t="s">
        <v>1212</v>
      </c>
    </row>
    <row r="107" spans="1:7">
      <c r="A107" s="5" t="s">
        <v>325</v>
      </c>
      <c r="B107" s="6">
        <v>29625.79</v>
      </c>
      <c r="C107" s="6">
        <v>32105.88</v>
      </c>
      <c r="D107" s="6">
        <f>C107-B107</f>
        <v>2480.09</v>
      </c>
      <c r="E107" s="9">
        <f>IF(B107=0,0,(C107-B107)/B107)</f>
        <v>0.084</v>
      </c>
      <c r="F107" s="5" t="str">
        <f>IF(AND(C107&gt;0,C107&gt;B107*1.1),"OVER","ok")</f>
        <v>ok</v>
      </c>
      <c r="G107" s="5" t="s">
        <v>1213</v>
      </c>
    </row>
    <row r="108" spans="1:7">
      <c r="A108" s="5" t="s">
        <v>375</v>
      </c>
      <c r="B108" s="6">
        <v>7983.88</v>
      </c>
      <c r="C108" s="6">
        <v>10229.94</v>
      </c>
      <c r="D108" s="6">
        <f>C108-B108</f>
        <v>2246.06</v>
      </c>
      <c r="E108" s="9">
        <f>IF(B108=0,0,(C108-B108)/B108)</f>
        <v>0.281</v>
      </c>
      <c r="F108" s="5" t="str">
        <f>IF(AND(C108&gt;0,C108&gt;B108*1.1),"OVER","ok")</f>
        <v>OVER</v>
      </c>
      <c r="G108" s="5" t="s">
        <v>1214</v>
      </c>
    </row>
    <row r="109" spans="1:7">
      <c r="A109" s="5" t="s">
        <v>356</v>
      </c>
      <c r="B109" s="6">
        <v>8387.52</v>
      </c>
      <c r="C109" s="6">
        <v>9932.4</v>
      </c>
      <c r="D109" s="6">
        <f>C109-B109</f>
        <v>1544.88</v>
      </c>
      <c r="E109" s="9">
        <f>IF(B109=0,0,(C109-B109)/B109)</f>
        <v>0.184</v>
      </c>
      <c r="F109" s="5" t="str">
        <f>IF(AND(C109&gt;0,C109&gt;B109*1.1),"OVER","ok")</f>
        <v>OVER</v>
      </c>
      <c r="G109" s="5" t="s">
        <v>1159</v>
      </c>
    </row>
    <row r="110" spans="1:7">
      <c r="A110" s="10" t="s">
        <v>1160</v>
      </c>
      <c r="B110" s="13">
        <f>SUM(B105:B109)</f>
        <v>92262.7</v>
      </c>
      <c r="C110" s="13">
        <f>SUM(C105:C109)</f>
        <v>97947.72</v>
      </c>
      <c r="D110" s="13">
        <f>C110-B110</f>
        <v>5685.02</v>
      </c>
      <c r="E110" s="9">
        <f>(C110-B110)/B110</f>
        <v>0.062</v>
      </c>
      <c r="F110" s="5" t="str">
        <f>IF(AND(C110&gt;0,C110&gt;B110*1.1),"OVER","ok")</f>
        <v>ok</v>
      </c>
    </row>
    <row r="112" spans="1:7">
      <c r="A112" s="10" t="s">
        <v>1215</v>
      </c>
    </row>
    <row r="113" spans="1:7">
      <c r="A113" s="4" t="s">
        <v>321</v>
      </c>
      <c r="B113" s="4" t="s">
        <v>1149</v>
      </c>
      <c r="C113" s="4" t="s">
        <v>1150</v>
      </c>
      <c r="D113" s="4" t="s">
        <v>1151</v>
      </c>
      <c r="E113" s="4" t="s">
        <v>1152</v>
      </c>
      <c r="F113" s="4" t="s">
        <v>1153</v>
      </c>
      <c r="G113" s="4" t="s">
        <v>1154</v>
      </c>
    </row>
    <row r="114" spans="1:7">
      <c r="A114" s="5" t="s">
        <v>340</v>
      </c>
      <c r="B114" s="6">
        <v>7965.26</v>
      </c>
      <c r="C114" s="6">
        <v>8507.34</v>
      </c>
      <c r="D114" s="6">
        <f>C114-B114</f>
        <v>542.08</v>
      </c>
      <c r="E114" s="9">
        <f>IF(B114=0,0,(C114-B114)/B114)</f>
        <v>0.068</v>
      </c>
      <c r="F114" s="5" t="str">
        <f>IF(AND(C114&gt;0,C114&gt;B114*1.1),"OVER","ok")</f>
        <v>ok</v>
      </c>
      <c r="G114" s="5" t="s">
        <v>1216</v>
      </c>
    </row>
    <row r="115" spans="1:7">
      <c r="A115" s="5" t="s">
        <v>329</v>
      </c>
      <c r="B115" s="6">
        <v>26514.76</v>
      </c>
      <c r="C115" s="6">
        <v>27191.88</v>
      </c>
      <c r="D115" s="6">
        <f>C115-B115</f>
        <v>677.12</v>
      </c>
      <c r="E115" s="9">
        <f>IF(B115=0,0,(C115-B115)/B115)</f>
        <v>0.026000000000000002</v>
      </c>
      <c r="F115" s="5" t="str">
        <f>IF(AND(C115&gt;0,C115&gt;B115*1.1),"OVER","ok")</f>
        <v>ok</v>
      </c>
      <c r="G115" s="5" t="s">
        <v>1217</v>
      </c>
    </row>
    <row r="116" spans="1:7">
      <c r="A116" s="5" t="s">
        <v>325</v>
      </c>
      <c r="B116" s="6">
        <v>38496.63</v>
      </c>
      <c r="C116" s="6">
        <v>39015.72</v>
      </c>
      <c r="D116" s="6">
        <f>C116-B116</f>
        <v>519.09</v>
      </c>
      <c r="E116" s="9">
        <f>IF(B116=0,0,(C116-B116)/B116)</f>
        <v>0.013000000000000001</v>
      </c>
      <c r="F116" s="5" t="str">
        <f>IF(AND(C116&gt;0,C116&gt;B116*1.1),"OVER","ok")</f>
        <v>ok</v>
      </c>
      <c r="G116" s="5" t="s">
        <v>1218</v>
      </c>
    </row>
    <row r="117" spans="1:7">
      <c r="A117" s="5" t="s">
        <v>375</v>
      </c>
      <c r="B117" s="6">
        <v>6933.74</v>
      </c>
      <c r="C117" s="6">
        <v>9638.1</v>
      </c>
      <c r="D117" s="6">
        <f>C117-B117</f>
        <v>2704.36</v>
      </c>
      <c r="E117" s="9">
        <f>IF(B117=0,0,(C117-B117)/B117)</f>
        <v>0.39</v>
      </c>
      <c r="F117" s="5" t="str">
        <f>IF(AND(C117&gt;0,C117&gt;B117*1.1),"OVER","ok")</f>
        <v>OVER</v>
      </c>
      <c r="G117" s="5" t="s">
        <v>1219</v>
      </c>
    </row>
    <row r="118" spans="1:7">
      <c r="A118" s="5" t="s">
        <v>356</v>
      </c>
      <c r="B118" s="6">
        <v>7991.04</v>
      </c>
      <c r="C118" s="6">
        <v>8819.280000000001</v>
      </c>
      <c r="D118" s="6">
        <f>C118-B118</f>
        <v>828.24</v>
      </c>
      <c r="E118" s="9">
        <f>IF(B118=0,0,(C118-B118)/B118)</f>
        <v>0.10400000000000001</v>
      </c>
      <c r="F118" s="5" t="str">
        <f>IF(AND(C118&gt;0,C118&gt;B118*1.1),"OVER","ok")</f>
        <v>OVER</v>
      </c>
      <c r="G118" s="5" t="s">
        <v>1159</v>
      </c>
    </row>
    <row r="119" spans="1:7">
      <c r="A119" s="10" t="s">
        <v>1160</v>
      </c>
      <c r="B119" s="13">
        <f>SUM(B114:B118)</f>
        <v>87901.43</v>
      </c>
      <c r="C119" s="13">
        <f>SUM(C114:C118)</f>
        <v>93172.32</v>
      </c>
      <c r="D119" s="13">
        <f>C119-B119</f>
        <v>5270.89</v>
      </c>
      <c r="E119" s="9">
        <f>(C119-B119)/B119</f>
        <v>0.06</v>
      </c>
      <c r="F119" s="5" t="str">
        <f>IF(AND(C119&gt;0,C119&gt;B119*1.1),"OVER","ok")</f>
        <v>ok</v>
      </c>
    </row>
    <row r="121" spans="1:7">
      <c r="A121" s="10" t="s">
        <v>1220</v>
      </c>
    </row>
    <row r="122" spans="1:7">
      <c r="A122" s="4" t="s">
        <v>321</v>
      </c>
      <c r="B122" s="4" t="s">
        <v>1149</v>
      </c>
      <c r="C122" s="4" t="s">
        <v>1150</v>
      </c>
      <c r="D122" s="4" t="s">
        <v>1151</v>
      </c>
      <c r="E122" s="4" t="s">
        <v>1152</v>
      </c>
      <c r="F122" s="4" t="s">
        <v>1153</v>
      </c>
      <c r="G122" s="4" t="s">
        <v>1154</v>
      </c>
    </row>
    <row r="123" spans="1:7">
      <c r="A123" s="5" t="s">
        <v>340</v>
      </c>
      <c r="B123" s="6">
        <v>10012.43</v>
      </c>
      <c r="C123" s="6">
        <v>11423.16</v>
      </c>
      <c r="D123" s="6">
        <f>C123-B123</f>
        <v>1410.73</v>
      </c>
      <c r="E123" s="9">
        <f>IF(B123=0,0,(C123-B123)/B123)</f>
        <v>0.141</v>
      </c>
      <c r="F123" s="5" t="str">
        <f>IF(AND(C123&gt;0,C123&gt;B123*1.1),"OVER","ok")</f>
        <v>OVER</v>
      </c>
      <c r="G123" s="5" t="s">
        <v>1221</v>
      </c>
    </row>
    <row r="124" spans="1:7">
      <c r="A124" s="5" t="s">
        <v>329</v>
      </c>
      <c r="B124" s="6">
        <v>19200.16</v>
      </c>
      <c r="C124" s="6">
        <v>17795.52</v>
      </c>
      <c r="D124" s="6">
        <f>C124-B124</f>
        <v>-1404.64</v>
      </c>
      <c r="E124" s="9">
        <f>IF(B124=0,0,(C124-B124)/B124)</f>
        <v>-0.073</v>
      </c>
      <c r="F124" s="5" t="str">
        <f>IF(AND(C124&gt;0,C124&gt;B124*1.1),"OVER","ok")</f>
        <v>ok</v>
      </c>
      <c r="G124" s="5" t="s">
        <v>1222</v>
      </c>
    </row>
    <row r="125" spans="1:7">
      <c r="A125" s="5" t="s">
        <v>325</v>
      </c>
      <c r="B125" s="6">
        <v>27332.48</v>
      </c>
      <c r="C125" s="6">
        <v>28558.62</v>
      </c>
      <c r="D125" s="6">
        <f>C125-B125</f>
        <v>1226.14</v>
      </c>
      <c r="E125" s="9">
        <f>IF(B125=0,0,(C125-B125)/B125)</f>
        <v>0.045</v>
      </c>
      <c r="F125" s="5" t="str">
        <f>IF(AND(C125&gt;0,C125&gt;B125*1.1),"OVER","ok")</f>
        <v>ok</v>
      </c>
      <c r="G125" s="5" t="s">
        <v>1223</v>
      </c>
    </row>
    <row r="126" spans="1:7">
      <c r="A126" s="5" t="s">
        <v>375</v>
      </c>
      <c r="B126" s="6">
        <v>6154.99</v>
      </c>
      <c r="C126" s="6">
        <v>7573.5</v>
      </c>
      <c r="D126" s="6">
        <f>C126-B126</f>
        <v>1418.51</v>
      </c>
      <c r="E126" s="9">
        <f>IF(B126=0,0,(C126-B126)/B126)</f>
        <v>0.23</v>
      </c>
      <c r="F126" s="5" t="str">
        <f>IF(AND(C126&gt;0,C126&gt;B126*1.1),"OVER","ok")</f>
        <v>OVER</v>
      </c>
      <c r="G126" s="5" t="s">
        <v>1224</v>
      </c>
    </row>
    <row r="127" spans="1:7">
      <c r="A127" s="5" t="s">
        <v>356</v>
      </c>
      <c r="B127" s="6">
        <v>6270.01</v>
      </c>
      <c r="C127" s="6">
        <v>7444.98</v>
      </c>
      <c r="D127" s="6">
        <f>C127-B127</f>
        <v>1174.97</v>
      </c>
      <c r="E127" s="9">
        <f>IF(B127=0,0,(C127-B127)/B127)</f>
        <v>0.187</v>
      </c>
      <c r="F127" s="5" t="str">
        <f>IF(AND(C127&gt;0,C127&gt;B127*1.1),"OVER","ok")</f>
        <v>OVER</v>
      </c>
      <c r="G127" s="5" t="s">
        <v>1159</v>
      </c>
    </row>
    <row r="128" spans="1:7">
      <c r="A128" s="10" t="s">
        <v>1160</v>
      </c>
      <c r="B128" s="13">
        <f>SUM(B123:B127)</f>
        <v>68970.07</v>
      </c>
      <c r="C128" s="13">
        <f>SUM(C123:C127)</f>
        <v>72795.78</v>
      </c>
      <c r="D128" s="13">
        <f>C128-B128</f>
        <v>3825.71</v>
      </c>
      <c r="E128" s="9">
        <f>(C128-B128)/B128</f>
        <v>0.055</v>
      </c>
      <c r="F128" s="5" t="str">
        <f>IF(AND(C128&gt;0,C128&gt;B128*1.1),"OVER","ok")</f>
        <v>ok</v>
      </c>
    </row>
    <row r="130" spans="1:7">
      <c r="A130" s="10" t="s">
        <v>1225</v>
      </c>
    </row>
    <row r="131" spans="1:7">
      <c r="A131" s="4" t="s">
        <v>321</v>
      </c>
      <c r="B131" s="4" t="s">
        <v>1149</v>
      </c>
      <c r="C131" s="4" t="s">
        <v>1150</v>
      </c>
      <c r="D131" s="4" t="s">
        <v>1151</v>
      </c>
      <c r="E131" s="4" t="s">
        <v>1152</v>
      </c>
      <c r="F131" s="4" t="s">
        <v>1153</v>
      </c>
      <c r="G131" s="4" t="s">
        <v>1154</v>
      </c>
    </row>
    <row r="132" spans="1:7">
      <c r="A132" s="5" t="s">
        <v>340</v>
      </c>
      <c r="B132" s="6">
        <v>8365.25</v>
      </c>
      <c r="C132" s="6">
        <v>10106.46</v>
      </c>
      <c r="D132" s="6">
        <f>C132-B132</f>
        <v>1741.21</v>
      </c>
      <c r="E132" s="9">
        <f>IF(B132=0,0,(C132-B132)/B132)</f>
        <v>0.20800000000000002</v>
      </c>
      <c r="F132" s="5" t="str">
        <f>IF(AND(C132&gt;0,C132&gt;B132*1.1),"OVER","ok")</f>
        <v>OVER</v>
      </c>
      <c r="G132" s="5" t="s">
        <v>1226</v>
      </c>
    </row>
    <row r="133" spans="1:7">
      <c r="A133" s="5" t="s">
        <v>329</v>
      </c>
      <c r="B133" s="6">
        <v>12065</v>
      </c>
      <c r="C133" s="6">
        <v>12409.74</v>
      </c>
      <c r="D133" s="6">
        <f>C133-B133</f>
        <v>344.74</v>
      </c>
      <c r="E133" s="9">
        <f>IF(B133=0,0,(C133-B133)/B133)</f>
        <v>0.028999999999999998</v>
      </c>
      <c r="F133" s="5" t="str">
        <f>IF(AND(C133&gt;0,C133&gt;B133*1.1),"OVER","ok")</f>
        <v>ok</v>
      </c>
      <c r="G133" s="5" t="s">
        <v>1227</v>
      </c>
    </row>
    <row r="134" spans="1:7">
      <c r="A134" s="5" t="s">
        <v>325</v>
      </c>
      <c r="B134" s="6">
        <v>17120.51</v>
      </c>
      <c r="C134" s="6">
        <v>17961.48</v>
      </c>
      <c r="D134" s="6">
        <f>C134-B134</f>
        <v>840.97</v>
      </c>
      <c r="E134" s="9">
        <f>IF(B134=0,0,(C134-B134)/B134)</f>
        <v>0.049</v>
      </c>
      <c r="F134" s="5" t="str">
        <f>IF(AND(C134&gt;0,C134&gt;B134*1.1),"OVER","ok")</f>
        <v>ok</v>
      </c>
      <c r="G134" s="5" t="s">
        <v>1228</v>
      </c>
    </row>
    <row r="135" spans="1:7">
      <c r="A135" s="5" t="s">
        <v>375</v>
      </c>
      <c r="B135" s="6">
        <v>5205.09</v>
      </c>
      <c r="C135" s="6">
        <v>8466.66</v>
      </c>
      <c r="D135" s="6">
        <f>C135-B135</f>
        <v>3261.57</v>
      </c>
      <c r="E135" s="9">
        <f>IF(B135=0,0,(C135-B135)/B135)</f>
        <v>0.627</v>
      </c>
      <c r="F135" s="5" t="str">
        <f>IF(AND(C135&gt;0,C135&gt;B135*1.1),"OVER","ok")</f>
        <v>OVER</v>
      </c>
      <c r="G135" s="5" t="s">
        <v>1229</v>
      </c>
    </row>
    <row r="136" spans="1:7">
      <c r="A136" s="5" t="s">
        <v>356</v>
      </c>
      <c r="B136" s="6">
        <v>4275.58</v>
      </c>
      <c r="C136" s="6">
        <v>0</v>
      </c>
      <c r="D136" s="6">
        <f>C136-B136</f>
        <v>-4275.58</v>
      </c>
      <c r="E136" s="9">
        <f>IF(B136=0,0,(C136-B136)/B136)</f>
        <v>-1.0</v>
      </c>
      <c r="F136" s="5" t="str">
        <f>IF(AND(C136&gt;0,C136&gt;B136*1.1),"OVER","ok")</f>
        <v>ok</v>
      </c>
      <c r="G136" s="5" t="s">
        <v>1159</v>
      </c>
    </row>
    <row r="137" spans="1:7">
      <c r="A137" s="10" t="s">
        <v>1160</v>
      </c>
      <c r="B137" s="13">
        <f>SUM(B132:B136)</f>
        <v>47031.43</v>
      </c>
      <c r="C137" s="13">
        <f>SUM(C132:C136)</f>
        <v>48944.34</v>
      </c>
      <c r="D137" s="13">
        <f>C137-B137</f>
        <v>1912.91</v>
      </c>
      <c r="E137" s="9">
        <f>(C137-B137)/B137</f>
        <v>0.040999999999999995</v>
      </c>
      <c r="F137" s="5" t="str">
        <f>IF(AND(C137&gt;0,C137&gt;B137*1.1),"OVER","ok")</f>
        <v>ok</v>
      </c>
    </row>
    <row r="139" spans="1:7">
      <c r="A139" s="10" t="s">
        <v>1230</v>
      </c>
    </row>
    <row r="140" spans="1:7">
      <c r="A140" s="4" t="s">
        <v>321</v>
      </c>
      <c r="B140" s="4" t="s">
        <v>1149</v>
      </c>
      <c r="C140" s="4" t="s">
        <v>1150</v>
      </c>
      <c r="D140" s="4" t="s">
        <v>1151</v>
      </c>
      <c r="E140" s="4" t="s">
        <v>1152</v>
      </c>
      <c r="F140" s="4" t="s">
        <v>1153</v>
      </c>
      <c r="G140" s="4" t="s">
        <v>1154</v>
      </c>
    </row>
    <row r="141" spans="1:7">
      <c r="A141" s="5" t="s">
        <v>340</v>
      </c>
      <c r="B141" s="6">
        <v>13822.16</v>
      </c>
      <c r="C141" s="6">
        <v>13580.1</v>
      </c>
      <c r="D141" s="6">
        <f>C141-B141</f>
        <v>-242.06</v>
      </c>
      <c r="E141" s="9">
        <f>IF(B141=0,0,(C141-B141)/B141)</f>
        <v>-0.018000000000000002</v>
      </c>
      <c r="F141" s="5" t="str">
        <f>IF(AND(C141&gt;0,C141&gt;B141*1.1),"OVER","ok")</f>
        <v>ok</v>
      </c>
      <c r="G141" s="5" t="s">
        <v>1231</v>
      </c>
    </row>
    <row r="142" spans="1:7">
      <c r="A142" s="5" t="s">
        <v>329</v>
      </c>
      <c r="B142" s="6">
        <v>13600.38</v>
      </c>
      <c r="C142" s="6">
        <v>16225.74</v>
      </c>
      <c r="D142" s="6">
        <f>C142-B142</f>
        <v>2625.36</v>
      </c>
      <c r="E142" s="9">
        <f>IF(B142=0,0,(C142-B142)/B142)</f>
        <v>0.193</v>
      </c>
      <c r="F142" s="5" t="str">
        <f>IF(AND(C142&gt;0,C142&gt;B142*1.1),"OVER","ok")</f>
        <v>OVER</v>
      </c>
      <c r="G142" s="5" t="s">
        <v>1232</v>
      </c>
    </row>
    <row r="143" spans="1:7">
      <c r="A143" s="5" t="s">
        <v>325</v>
      </c>
      <c r="B143" s="6">
        <v>29907.57</v>
      </c>
      <c r="C143" s="6">
        <v>33951.06</v>
      </c>
      <c r="D143" s="6">
        <f>C143-B143</f>
        <v>4043.49</v>
      </c>
      <c r="E143" s="9">
        <f>IF(B143=0,0,(C143-B143)/B143)</f>
        <v>0.135</v>
      </c>
      <c r="F143" s="5" t="str">
        <f>IF(AND(C143&gt;0,C143&gt;B143*1.1),"OVER","ok")</f>
        <v>OVER</v>
      </c>
      <c r="G143" s="5" t="s">
        <v>1233</v>
      </c>
    </row>
    <row r="144" spans="1:7">
      <c r="A144" s="5" t="s">
        <v>375</v>
      </c>
      <c r="B144" s="6">
        <v>5535.75</v>
      </c>
      <c r="C144" s="6">
        <v>7830.54</v>
      </c>
      <c r="D144" s="6">
        <f>C144-B144</f>
        <v>2294.79</v>
      </c>
      <c r="E144" s="9">
        <f>IF(B144=0,0,(C144-B144)/B144)</f>
        <v>0.415</v>
      </c>
      <c r="F144" s="5" t="str">
        <f>IF(AND(C144&gt;0,C144&gt;B144*1.1),"OVER","ok")</f>
        <v>OVER</v>
      </c>
      <c r="G144" s="5" t="s">
        <v>1234</v>
      </c>
    </row>
    <row r="145" spans="1:7">
      <c r="A145" s="5" t="s">
        <v>356</v>
      </c>
      <c r="B145" s="6">
        <v>6286.59</v>
      </c>
      <c r="C145" s="6">
        <v>0</v>
      </c>
      <c r="D145" s="6">
        <f>C145-B145</f>
        <v>-6286.59</v>
      </c>
      <c r="E145" s="9">
        <f>IF(B145=0,0,(C145-B145)/B145)</f>
        <v>-1.0</v>
      </c>
      <c r="F145" s="5" t="str">
        <f>IF(AND(C145&gt;0,C145&gt;B145*1.1),"OVER","ok")</f>
        <v>ok</v>
      </c>
      <c r="G145" s="5" t="s">
        <v>1159</v>
      </c>
    </row>
    <row r="146" spans="1:7">
      <c r="A146" s="10" t="s">
        <v>1160</v>
      </c>
      <c r="B146" s="13">
        <f>SUM(B141:B145)</f>
        <v>69152.45</v>
      </c>
      <c r="C146" s="13">
        <f>SUM(C141:C145)</f>
        <v>71587.44</v>
      </c>
      <c r="D146" s="13">
        <f>C146-B146</f>
        <v>2434.99</v>
      </c>
      <c r="E146" s="9">
        <f>(C146-B146)/B146</f>
        <v>0.035</v>
      </c>
      <c r="F146" s="5" t="str">
        <f>IF(AND(C146&gt;0,C146&gt;B146*1.1),"OVER","ok")</f>
        <v>ok</v>
      </c>
    </row>
    <row r="148" spans="1:7">
      <c r="A148" s="10" t="s">
        <v>1235</v>
      </c>
    </row>
    <row r="149" spans="1:7">
      <c r="A149" s="4" t="s">
        <v>321</v>
      </c>
      <c r="B149" s="4" t="s">
        <v>1149</v>
      </c>
      <c r="C149" s="4" t="s">
        <v>1150</v>
      </c>
      <c r="D149" s="4" t="s">
        <v>1151</v>
      </c>
      <c r="E149" s="4" t="s">
        <v>1152</v>
      </c>
      <c r="F149" s="4" t="s">
        <v>1153</v>
      </c>
      <c r="G149" s="4" t="s">
        <v>1154</v>
      </c>
    </row>
    <row r="150" spans="1:7">
      <c r="A150" s="5" t="s">
        <v>340</v>
      </c>
      <c r="B150" s="6">
        <v>14796.06</v>
      </c>
      <c r="C150" s="6">
        <v>16591.32</v>
      </c>
      <c r="D150" s="6">
        <f>C150-B150</f>
        <v>1795.26</v>
      </c>
      <c r="E150" s="9">
        <f>IF(B150=0,0,(C150-B150)/B150)</f>
        <v>0.121</v>
      </c>
      <c r="F150" s="5" t="str">
        <f>IF(AND(C150&gt;0,C150&gt;B150*1.1),"OVER","ok")</f>
        <v>OVER</v>
      </c>
      <c r="G150" s="5" t="s">
        <v>1236</v>
      </c>
    </row>
    <row r="151" spans="1:7">
      <c r="A151" s="5" t="s">
        <v>329</v>
      </c>
      <c r="B151" s="6">
        <v>23183.56</v>
      </c>
      <c r="C151" s="6">
        <v>25388.28</v>
      </c>
      <c r="D151" s="6">
        <f>C151-B151</f>
        <v>2204.72</v>
      </c>
      <c r="E151" s="9">
        <f>IF(B151=0,0,(C151-B151)/B151)</f>
        <v>0.095</v>
      </c>
      <c r="F151" s="5" t="str">
        <f>IF(AND(C151&gt;0,C151&gt;B151*1.1),"OVER","ok")</f>
        <v>ok</v>
      </c>
      <c r="G151" s="5" t="s">
        <v>1237</v>
      </c>
    </row>
    <row r="152" spans="1:7">
      <c r="A152" s="5" t="s">
        <v>325</v>
      </c>
      <c r="B152" s="6">
        <v>23066.2</v>
      </c>
      <c r="C152" s="6">
        <v>19614.78</v>
      </c>
      <c r="D152" s="6">
        <f>C152-B152</f>
        <v>-3451.42</v>
      </c>
      <c r="E152" s="9">
        <f>IF(B152=0,0,(C152-B152)/B152)</f>
        <v>-0.15</v>
      </c>
      <c r="F152" s="5" t="str">
        <f>IF(AND(C152&gt;0,C152&gt;B152*1.1),"OVER","ok")</f>
        <v>ok</v>
      </c>
      <c r="G152" s="5" t="s">
        <v>1238</v>
      </c>
    </row>
    <row r="153" spans="1:7">
      <c r="A153" s="5" t="s">
        <v>375</v>
      </c>
      <c r="B153" s="6">
        <v>7382.54</v>
      </c>
      <c r="C153" s="6">
        <v>7900.2</v>
      </c>
      <c r="D153" s="6">
        <f>C153-B153</f>
        <v>517.66</v>
      </c>
      <c r="E153" s="9">
        <f>IF(B153=0,0,(C153-B153)/B153)</f>
        <v>0.07</v>
      </c>
      <c r="F153" s="5" t="str">
        <f>IF(AND(C153&gt;0,C153&gt;B153*1.1),"OVER","ok")</f>
        <v>ok</v>
      </c>
      <c r="G153" s="5" t="s">
        <v>1239</v>
      </c>
    </row>
    <row r="154" spans="1:7">
      <c r="A154" s="5" t="s">
        <v>356</v>
      </c>
      <c r="B154" s="6">
        <v>6842.84</v>
      </c>
      <c r="C154" s="6">
        <v>8268.120000000001</v>
      </c>
      <c r="D154" s="6">
        <f>C154-B154</f>
        <v>1425.28</v>
      </c>
      <c r="E154" s="9">
        <f>IF(B154=0,0,(C154-B154)/B154)</f>
        <v>0.20800000000000002</v>
      </c>
      <c r="F154" s="5" t="str">
        <f>IF(AND(C154&gt;0,C154&gt;B154*1.1),"OVER","ok")</f>
        <v>OVER</v>
      </c>
      <c r="G154" s="5" t="s">
        <v>1159</v>
      </c>
    </row>
    <row r="155" spans="1:7">
      <c r="A155" s="10" t="s">
        <v>1160</v>
      </c>
      <c r="B155" s="13">
        <f>SUM(B150:B154)</f>
        <v>75271.2</v>
      </c>
      <c r="C155" s="13">
        <f>SUM(C150:C154)</f>
        <v>77762.7</v>
      </c>
      <c r="D155" s="13">
        <f>C155-B155</f>
        <v>2491.5</v>
      </c>
      <c r="E155" s="9">
        <f>(C155-B155)/B155</f>
        <v>0.033</v>
      </c>
      <c r="F155" s="5" t="str">
        <f>IF(AND(C155&gt;0,C155&gt;B155*1.1),"OVER","ok")</f>
        <v>ok</v>
      </c>
    </row>
    <row r="157" spans="1:7">
      <c r="A157" s="10" t="s">
        <v>1240</v>
      </c>
    </row>
    <row r="158" spans="1:7">
      <c r="A158" s="4" t="s">
        <v>321</v>
      </c>
      <c r="B158" s="4" t="s">
        <v>1149</v>
      </c>
      <c r="C158" s="4" t="s">
        <v>1150</v>
      </c>
      <c r="D158" s="4" t="s">
        <v>1151</v>
      </c>
      <c r="E158" s="4" t="s">
        <v>1152</v>
      </c>
      <c r="F158" s="4" t="s">
        <v>1153</v>
      </c>
      <c r="G158" s="4" t="s">
        <v>1154</v>
      </c>
    </row>
    <row r="159" spans="1:7">
      <c r="A159" s="5" t="s">
        <v>340</v>
      </c>
      <c r="B159" s="6">
        <v>17854.11</v>
      </c>
      <c r="C159" s="6">
        <v>17776.8</v>
      </c>
      <c r="D159" s="6">
        <f>C159-B159</f>
        <v>-77.31</v>
      </c>
      <c r="E159" s="9">
        <f>IF(B159=0,0,(C159-B159)/B159)</f>
        <v>-0.004</v>
      </c>
      <c r="F159" s="5" t="str">
        <f>IF(AND(C159&gt;0,C159&gt;B159*1.1),"OVER","ok")</f>
        <v>ok</v>
      </c>
      <c r="G159" s="5" t="s">
        <v>1197</v>
      </c>
    </row>
    <row r="160" spans="1:7">
      <c r="A160" s="5" t="s">
        <v>329</v>
      </c>
      <c r="B160" s="6">
        <v>18349.83</v>
      </c>
      <c r="C160" s="6">
        <v>15907.5</v>
      </c>
      <c r="D160" s="6">
        <f>C160-B160</f>
        <v>-2442.33</v>
      </c>
      <c r="E160" s="9">
        <f>IF(B160=0,0,(C160-B160)/B160)</f>
        <v>-0.133</v>
      </c>
      <c r="F160" s="5" t="str">
        <f>IF(AND(C160&gt;0,C160&gt;B160*1.1),"OVER","ok")</f>
        <v>ok</v>
      </c>
      <c r="G160" s="5" t="s">
        <v>1241</v>
      </c>
    </row>
    <row r="161" spans="1:7">
      <c r="A161" s="5" t="s">
        <v>325</v>
      </c>
      <c r="B161" s="6">
        <v>26840.25</v>
      </c>
      <c r="C161" s="6">
        <v>26040.42</v>
      </c>
      <c r="D161" s="6">
        <f>C161-B161</f>
        <v>-799.83</v>
      </c>
      <c r="E161" s="9">
        <f>IF(B161=0,0,(C161-B161)/B161)</f>
        <v>-0.03</v>
      </c>
      <c r="F161" s="5" t="str">
        <f>IF(AND(C161&gt;0,C161&gt;B161*1.1),"OVER","ok")</f>
        <v>ok</v>
      </c>
      <c r="G161" s="5" t="s">
        <v>1242</v>
      </c>
    </row>
    <row r="162" spans="1:7">
      <c r="A162" s="5" t="s">
        <v>375</v>
      </c>
      <c r="B162" s="6">
        <v>5180.02</v>
      </c>
      <c r="C162" s="6">
        <v>8490.42</v>
      </c>
      <c r="D162" s="6">
        <f>C162-B162</f>
        <v>3310.4</v>
      </c>
      <c r="E162" s="9">
        <f>IF(B162=0,0,(C162-B162)/B162)</f>
        <v>0.639</v>
      </c>
      <c r="F162" s="5" t="str">
        <f>IF(AND(C162&gt;0,C162&gt;B162*1.1),"OVER","ok")</f>
        <v>OVER</v>
      </c>
      <c r="G162" s="5" t="s">
        <v>1243</v>
      </c>
    </row>
    <row r="163" spans="1:7">
      <c r="A163" s="5" t="s">
        <v>356</v>
      </c>
      <c r="B163" s="6">
        <v>6822.42</v>
      </c>
      <c r="C163" s="6">
        <v>9296.280000000001</v>
      </c>
      <c r="D163" s="6">
        <f>C163-B163</f>
        <v>2473.86</v>
      </c>
      <c r="E163" s="9">
        <f>IF(B163=0,0,(C163-B163)/B163)</f>
        <v>0.363</v>
      </c>
      <c r="F163" s="5" t="str">
        <f>IF(AND(C163&gt;0,C163&gt;B163*1.1),"OVER","ok")</f>
        <v>OVER</v>
      </c>
      <c r="G163" s="5" t="s">
        <v>1159</v>
      </c>
    </row>
    <row r="164" spans="1:7">
      <c r="A164" s="10" t="s">
        <v>1160</v>
      </c>
      <c r="B164" s="13">
        <f>SUM(B159:B163)</f>
        <v>75046.63</v>
      </c>
      <c r="C164" s="13">
        <f>SUM(C159:C163)</f>
        <v>77511.42</v>
      </c>
      <c r="D164" s="13">
        <f>C164-B164</f>
        <v>2464.79</v>
      </c>
      <c r="E164" s="9">
        <f>(C164-B164)/B164</f>
        <v>0.033</v>
      </c>
      <c r="F164" s="5" t="str">
        <f>IF(AND(C164&gt;0,C164&gt;B164*1.1),"OVER","ok")</f>
        <v>ok</v>
      </c>
    </row>
    <row r="166" spans="1:7">
      <c r="A166" s="10" t="s">
        <v>1244</v>
      </c>
    </row>
    <row r="167" spans="1:7">
      <c r="A167" s="4" t="s">
        <v>321</v>
      </c>
      <c r="B167" s="4" t="s">
        <v>1149</v>
      </c>
      <c r="C167" s="4" t="s">
        <v>1150</v>
      </c>
      <c r="D167" s="4" t="s">
        <v>1151</v>
      </c>
      <c r="E167" s="4" t="s">
        <v>1152</v>
      </c>
      <c r="F167" s="4" t="s">
        <v>1153</v>
      </c>
      <c r="G167" s="4" t="s">
        <v>1154</v>
      </c>
    </row>
    <row r="168" spans="1:7">
      <c r="A168" s="5" t="s">
        <v>340</v>
      </c>
      <c r="B168" s="6">
        <v>13301.39</v>
      </c>
      <c r="C168" s="6">
        <v>14093.28</v>
      </c>
      <c r="D168" s="6">
        <f>C168-B168</f>
        <v>791.89</v>
      </c>
      <c r="E168" s="9">
        <f>IF(B168=0,0,(C168-B168)/B168)</f>
        <v>0.06</v>
      </c>
      <c r="F168" s="5" t="str">
        <f>IF(AND(C168&gt;0,C168&gt;B168*1.1),"OVER","ok")</f>
        <v>ok</v>
      </c>
      <c r="G168" s="5" t="s">
        <v>1245</v>
      </c>
    </row>
    <row r="169" spans="1:7">
      <c r="A169" s="5" t="s">
        <v>329</v>
      </c>
      <c r="B169" s="6">
        <v>12845.59</v>
      </c>
      <c r="C169" s="6">
        <v>13619.52</v>
      </c>
      <c r="D169" s="6">
        <f>C169-B169</f>
        <v>773.93</v>
      </c>
      <c r="E169" s="9">
        <f>IF(B169=0,0,(C169-B169)/B169)</f>
        <v>0.06</v>
      </c>
      <c r="F169" s="5" t="str">
        <f>IF(AND(C169&gt;0,C169&gt;B169*1.1),"OVER","ok")</f>
        <v>ok</v>
      </c>
      <c r="G169" s="5" t="s">
        <v>1246</v>
      </c>
    </row>
    <row r="170" spans="1:7">
      <c r="A170" s="5" t="s">
        <v>325</v>
      </c>
      <c r="B170" s="6">
        <v>33098.88</v>
      </c>
      <c r="C170" s="6">
        <v>29451.6</v>
      </c>
      <c r="D170" s="6">
        <f>C170-B170</f>
        <v>-3647.28</v>
      </c>
      <c r="E170" s="9">
        <f>IF(B170=0,0,(C170-B170)/B170)</f>
        <v>-0.11</v>
      </c>
      <c r="F170" s="5" t="str">
        <f>IF(AND(C170&gt;0,C170&gt;B170*1.1),"OVER","ok")</f>
        <v>ok</v>
      </c>
      <c r="G170" s="5" t="s">
        <v>1247</v>
      </c>
    </row>
    <row r="171" spans="1:7">
      <c r="A171" s="5" t="s">
        <v>375</v>
      </c>
      <c r="B171" s="6">
        <v>6207.51</v>
      </c>
      <c r="C171" s="6">
        <v>8604.719999999999</v>
      </c>
      <c r="D171" s="6">
        <f>C171-B171</f>
        <v>2397.21</v>
      </c>
      <c r="E171" s="9">
        <f>IF(B171=0,0,(C171-B171)/B171)</f>
        <v>0.386</v>
      </c>
      <c r="F171" s="5" t="str">
        <f>IF(AND(C171&gt;0,C171&gt;B171*1.1),"OVER","ok")</f>
        <v>OVER</v>
      </c>
      <c r="G171" s="5" t="s">
        <v>1248</v>
      </c>
    </row>
    <row r="172" spans="1:7">
      <c r="A172" s="5" t="s">
        <v>356</v>
      </c>
      <c r="B172" s="6">
        <v>6545.34</v>
      </c>
      <c r="C172" s="6">
        <v>8542.799999999999</v>
      </c>
      <c r="D172" s="6">
        <f>C172-B172</f>
        <v>1997.46</v>
      </c>
      <c r="E172" s="9">
        <f>IF(B172=0,0,(C172-B172)/B172)</f>
        <v>0.305</v>
      </c>
      <c r="F172" s="5" t="str">
        <f>IF(AND(C172&gt;0,C172&gt;B172*1.1),"OVER","ok")</f>
        <v>OVER</v>
      </c>
      <c r="G172" s="5" t="s">
        <v>1159</v>
      </c>
    </row>
    <row r="173" spans="1:7">
      <c r="A173" s="10" t="s">
        <v>1160</v>
      </c>
      <c r="B173" s="13">
        <f>SUM(B168:B172)</f>
        <v>71998.71</v>
      </c>
      <c r="C173" s="13">
        <f>SUM(C168:C172)</f>
        <v>74311.92</v>
      </c>
      <c r="D173" s="13">
        <f>C173-B173</f>
        <v>2313.21</v>
      </c>
      <c r="E173" s="9">
        <f>(C173-B173)/B173</f>
        <v>0.032</v>
      </c>
      <c r="F173" s="5" t="str">
        <f>IF(AND(C173&gt;0,C173&gt;B173*1.1),"OVER","ok")</f>
        <v>ok</v>
      </c>
    </row>
    <row r="175" spans="1:7">
      <c r="A175" s="10" t="s">
        <v>1249</v>
      </c>
    </row>
    <row r="176" spans="1:7">
      <c r="A176" s="4" t="s">
        <v>321</v>
      </c>
      <c r="B176" s="4" t="s">
        <v>1149</v>
      </c>
      <c r="C176" s="4" t="s">
        <v>1150</v>
      </c>
      <c r="D176" s="4" t="s">
        <v>1151</v>
      </c>
      <c r="E176" s="4" t="s">
        <v>1152</v>
      </c>
      <c r="F176" s="4" t="s">
        <v>1153</v>
      </c>
      <c r="G176" s="4" t="s">
        <v>1154</v>
      </c>
    </row>
    <row r="177" spans="1:7">
      <c r="A177" s="5" t="s">
        <v>340</v>
      </c>
      <c r="B177" s="6">
        <v>18343.32</v>
      </c>
      <c r="C177" s="6">
        <v>18754.56</v>
      </c>
      <c r="D177" s="6">
        <f>C177-B177</f>
        <v>411.24</v>
      </c>
      <c r="E177" s="9">
        <f>IF(B177=0,0,(C177-B177)/B177)</f>
        <v>0.022000000000000002</v>
      </c>
      <c r="F177" s="5" t="str">
        <f>IF(AND(C177&gt;0,C177&gt;B177*1.1),"OVER","ok")</f>
        <v>ok</v>
      </c>
      <c r="G177" s="5" t="s">
        <v>1250</v>
      </c>
    </row>
    <row r="178" spans="1:7">
      <c r="A178" s="5" t="s">
        <v>329</v>
      </c>
      <c r="B178" s="6">
        <v>35069.38</v>
      </c>
      <c r="C178" s="6">
        <v>35261.64</v>
      </c>
      <c r="D178" s="6">
        <f>C178-B178</f>
        <v>192.26</v>
      </c>
      <c r="E178" s="9">
        <f>IF(B178=0,0,(C178-B178)/B178)</f>
        <v>0.005</v>
      </c>
      <c r="F178" s="5" t="str">
        <f>IF(AND(C178&gt;0,C178&gt;B178*1.1),"OVER","ok")</f>
        <v>ok</v>
      </c>
      <c r="G178" s="5" t="s">
        <v>1251</v>
      </c>
    </row>
    <row r="179" spans="1:7">
      <c r="A179" s="5" t="s">
        <v>325</v>
      </c>
      <c r="B179" s="6">
        <v>37434.89</v>
      </c>
      <c r="C179" s="6">
        <v>37827</v>
      </c>
      <c r="D179" s="6">
        <f>C179-B179</f>
        <v>392.11</v>
      </c>
      <c r="E179" s="9">
        <f>IF(B179=0,0,(C179-B179)/B179)</f>
        <v>0.01</v>
      </c>
      <c r="F179" s="5" t="str">
        <f>IF(AND(C179&gt;0,C179&gt;B179*1.1),"OVER","ok")</f>
        <v>ok</v>
      </c>
      <c r="G179" s="5" t="s">
        <v>1252</v>
      </c>
    </row>
    <row r="180" spans="1:7">
      <c r="A180" s="5" t="s">
        <v>375</v>
      </c>
      <c r="B180" s="6">
        <v>8593.77</v>
      </c>
      <c r="C180" s="6">
        <v>8746.200000000001</v>
      </c>
      <c r="D180" s="6">
        <f>C180-B180</f>
        <v>152.43</v>
      </c>
      <c r="E180" s="9">
        <f>IF(B180=0,0,(C180-B180)/B180)</f>
        <v>0.018000000000000002</v>
      </c>
      <c r="F180" s="5" t="str">
        <f>IF(AND(C180&gt;0,C180&gt;B180*1.1),"OVER","ok")</f>
        <v>ok</v>
      </c>
      <c r="G180" s="5" t="s">
        <v>1253</v>
      </c>
    </row>
    <row r="181" spans="1:7">
      <c r="A181" s="5" t="s">
        <v>356</v>
      </c>
      <c r="B181" s="6">
        <v>9944.139999999999</v>
      </c>
      <c r="C181" s="6">
        <v>11716.2</v>
      </c>
      <c r="D181" s="6">
        <f>C181-B181</f>
        <v>1772.06</v>
      </c>
      <c r="E181" s="9">
        <f>IF(B181=0,0,(C181-B181)/B181)</f>
        <v>0.17800000000000002</v>
      </c>
      <c r="F181" s="5" t="str">
        <f>IF(AND(C181&gt;0,C181&gt;B181*1.1),"OVER","ok")</f>
        <v>OVER</v>
      </c>
      <c r="G181" s="5" t="s">
        <v>1159</v>
      </c>
    </row>
    <row r="182" spans="1:7">
      <c r="A182" s="10" t="s">
        <v>1160</v>
      </c>
      <c r="B182" s="13">
        <f>SUM(B177:B181)</f>
        <v>109385.5</v>
      </c>
      <c r="C182" s="13">
        <f>SUM(C177:C181)</f>
        <v>112305.6</v>
      </c>
      <c r="D182" s="13">
        <f>C182-B182</f>
        <v>2920.1</v>
      </c>
      <c r="E182" s="9">
        <f>(C182-B182)/B182</f>
        <v>0.027000000000000003</v>
      </c>
      <c r="F182" s="5" t="str">
        <f>IF(AND(C182&gt;0,C182&gt;B182*1.1),"OVER","ok")</f>
        <v>ok</v>
      </c>
    </row>
    <row r="184" spans="1:7">
      <c r="A184" s="10" t="s">
        <v>1254</v>
      </c>
    </row>
    <row r="185" spans="1:7">
      <c r="A185" s="4" t="s">
        <v>321</v>
      </c>
      <c r="B185" s="4" t="s">
        <v>1149</v>
      </c>
      <c r="C185" s="4" t="s">
        <v>1150</v>
      </c>
      <c r="D185" s="4" t="s">
        <v>1151</v>
      </c>
      <c r="E185" s="4" t="s">
        <v>1152</v>
      </c>
      <c r="F185" s="4" t="s">
        <v>1153</v>
      </c>
      <c r="G185" s="4" t="s">
        <v>1154</v>
      </c>
    </row>
    <row r="186" spans="1:7">
      <c r="A186" s="5" t="s">
        <v>340</v>
      </c>
      <c r="B186" s="6">
        <v>10628.48</v>
      </c>
      <c r="C186" s="6">
        <v>8526.6</v>
      </c>
      <c r="D186" s="6">
        <f>C186-B186</f>
        <v>-2101.88</v>
      </c>
      <c r="E186" s="9">
        <f>IF(B186=0,0,(C186-B186)/B186)</f>
        <v>-0.198</v>
      </c>
      <c r="F186" s="5" t="str">
        <f>IF(AND(C186&gt;0,C186&gt;B186*1.1),"OVER","ok")</f>
        <v>ok</v>
      </c>
      <c r="G186" s="5" t="s">
        <v>1255</v>
      </c>
    </row>
    <row r="187" spans="1:7">
      <c r="A187" s="5" t="s">
        <v>329</v>
      </c>
      <c r="B187" s="6">
        <v>41879.45</v>
      </c>
      <c r="C187" s="6">
        <v>43954.2</v>
      </c>
      <c r="D187" s="6">
        <f>C187-B187</f>
        <v>2074.75</v>
      </c>
      <c r="E187" s="9">
        <f>IF(B187=0,0,(C187-B187)/B187)</f>
        <v>0.05</v>
      </c>
      <c r="F187" s="5" t="str">
        <f>IF(AND(C187&gt;0,C187&gt;B187*1.1),"OVER","ok")</f>
        <v>ok</v>
      </c>
      <c r="G187" s="5" t="s">
        <v>1256</v>
      </c>
    </row>
    <row r="188" spans="1:7">
      <c r="A188" s="5" t="s">
        <v>325</v>
      </c>
      <c r="B188" s="6">
        <v>48019.46</v>
      </c>
      <c r="C188" s="6">
        <v>49360.68</v>
      </c>
      <c r="D188" s="6">
        <f>C188-B188</f>
        <v>1341.22</v>
      </c>
      <c r="E188" s="9">
        <f>IF(B188=0,0,(C188-B188)/B188)</f>
        <v>0.027999999999999997</v>
      </c>
      <c r="F188" s="5" t="str">
        <f>IF(AND(C188&gt;0,C188&gt;B188*1.1),"OVER","ok")</f>
        <v>ok</v>
      </c>
      <c r="G188" s="5" t="s">
        <v>1257</v>
      </c>
    </row>
    <row r="189" spans="1:7">
      <c r="A189" s="5" t="s">
        <v>375</v>
      </c>
      <c r="B189" s="6">
        <v>7360.17</v>
      </c>
      <c r="C189" s="6">
        <v>7326.36</v>
      </c>
      <c r="D189" s="6">
        <f>C189-B189</f>
        <v>-33.81</v>
      </c>
      <c r="E189" s="9">
        <f>IF(B189=0,0,(C189-B189)/B189)</f>
        <v>-0.005</v>
      </c>
      <c r="F189" s="5" t="str">
        <f>IF(AND(C189&gt;0,C189&gt;B189*1.1),"OVER","ok")</f>
        <v>ok</v>
      </c>
      <c r="G189" s="5" t="s">
        <v>1258</v>
      </c>
    </row>
    <row r="190" spans="1:7">
      <c r="A190" s="5" t="s">
        <v>356</v>
      </c>
      <c r="B190" s="6">
        <v>10788.76</v>
      </c>
      <c r="C190" s="6">
        <v>12435.12</v>
      </c>
      <c r="D190" s="6">
        <f>C190-B190</f>
        <v>1646.36</v>
      </c>
      <c r="E190" s="9">
        <f>IF(B190=0,0,(C190-B190)/B190)</f>
        <v>0.153</v>
      </c>
      <c r="F190" s="5" t="str">
        <f>IF(AND(C190&gt;0,C190&gt;B190*1.1),"OVER","ok")</f>
        <v>OVER</v>
      </c>
      <c r="G190" s="5" t="s">
        <v>1159</v>
      </c>
    </row>
    <row r="191" spans="1:7">
      <c r="A191" s="10" t="s">
        <v>1160</v>
      </c>
      <c r="B191" s="13">
        <f>SUM(B186:B190)</f>
        <v>118676.32</v>
      </c>
      <c r="C191" s="13">
        <f>SUM(C186:C190)</f>
        <v>121602.96</v>
      </c>
      <c r="D191" s="13">
        <f>C191-B191</f>
        <v>2926.64</v>
      </c>
      <c r="E191" s="9">
        <f>(C191-B191)/B191</f>
        <v>0.025</v>
      </c>
      <c r="F191" s="5" t="str">
        <f>IF(AND(C191&gt;0,C191&gt;B191*1.1),"OVER","ok")</f>
        <v>ok</v>
      </c>
    </row>
    <row r="193" spans="1:7">
      <c r="A193" s="10" t="s">
        <v>1259</v>
      </c>
    </row>
    <row r="194" spans="1:7">
      <c r="A194" s="4" t="s">
        <v>321</v>
      </c>
      <c r="B194" s="4" t="s">
        <v>1149</v>
      </c>
      <c r="C194" s="4" t="s">
        <v>1150</v>
      </c>
      <c r="D194" s="4" t="s">
        <v>1151</v>
      </c>
      <c r="E194" s="4" t="s">
        <v>1152</v>
      </c>
      <c r="F194" s="4" t="s">
        <v>1153</v>
      </c>
      <c r="G194" s="4" t="s">
        <v>1154</v>
      </c>
    </row>
    <row r="195" spans="1:7">
      <c r="A195" s="5" t="s">
        <v>340</v>
      </c>
      <c r="B195" s="6">
        <v>12379.21</v>
      </c>
      <c r="C195" s="6">
        <v>11213.46</v>
      </c>
      <c r="D195" s="6">
        <f>C195-B195</f>
        <v>-1165.75</v>
      </c>
      <c r="E195" s="9">
        <f>IF(B195=0,0,(C195-B195)/B195)</f>
        <v>-0.094</v>
      </c>
      <c r="F195" s="5" t="str">
        <f>IF(AND(C195&gt;0,C195&gt;B195*1.1),"OVER","ok")</f>
        <v>ok</v>
      </c>
      <c r="G195" s="5" t="s">
        <v>1260</v>
      </c>
    </row>
    <row r="196" spans="1:7">
      <c r="A196" s="5" t="s">
        <v>329</v>
      </c>
      <c r="B196" s="6">
        <v>36134.69</v>
      </c>
      <c r="C196" s="6">
        <v>35666.82</v>
      </c>
      <c r="D196" s="6">
        <f>C196-B196</f>
        <v>-467.87</v>
      </c>
      <c r="E196" s="9">
        <f>IF(B196=0,0,(C196-B196)/B196)</f>
        <v>-0.013000000000000001</v>
      </c>
      <c r="F196" s="5" t="str">
        <f>IF(AND(C196&gt;0,C196&gt;B196*1.1),"OVER","ok")</f>
        <v>ok</v>
      </c>
      <c r="G196" s="5" t="s">
        <v>1261</v>
      </c>
    </row>
    <row r="197" spans="1:7">
      <c r="A197" s="5" t="s">
        <v>325</v>
      </c>
      <c r="B197" s="6">
        <v>51508.3</v>
      </c>
      <c r="C197" s="6">
        <v>55926.72</v>
      </c>
      <c r="D197" s="6">
        <f>C197-B197</f>
        <v>4418.42</v>
      </c>
      <c r="E197" s="9">
        <f>IF(B197=0,0,(C197-B197)/B197)</f>
        <v>0.086</v>
      </c>
      <c r="F197" s="5" t="str">
        <f>IF(AND(C197&gt;0,C197&gt;B197*1.1),"OVER","ok")</f>
        <v>ok</v>
      </c>
      <c r="G197" s="5" t="s">
        <v>1262</v>
      </c>
    </row>
    <row r="198" spans="1:7">
      <c r="A198" s="5" t="s">
        <v>375</v>
      </c>
      <c r="B198" s="6">
        <v>8163.54</v>
      </c>
      <c r="C198" s="6">
        <v>7999.56</v>
      </c>
      <c r="D198" s="6">
        <f>C198-B198</f>
        <v>-163.98</v>
      </c>
      <c r="E198" s="9">
        <f>IF(B198=0,0,(C198-B198)/B198)</f>
        <v>-0.02</v>
      </c>
      <c r="F198" s="5" t="str">
        <f>IF(AND(C198&gt;0,C198&gt;B198*1.1),"OVER","ok")</f>
        <v>ok</v>
      </c>
      <c r="G198" s="5" t="s">
        <v>1263</v>
      </c>
    </row>
    <row r="199" spans="1:7">
      <c r="A199" s="5" t="s">
        <v>356</v>
      </c>
      <c r="B199" s="6">
        <v>10818.57</v>
      </c>
      <c r="C199" s="6">
        <v>11014.56</v>
      </c>
      <c r="D199" s="6">
        <f>C199-B199</f>
        <v>195.99</v>
      </c>
      <c r="E199" s="9">
        <f>IF(B199=0,0,(C199-B199)/B199)</f>
        <v>0.018000000000000002</v>
      </c>
      <c r="F199" s="5" t="str">
        <f>IF(AND(C199&gt;0,C199&gt;B199*1.1),"OVER","ok")</f>
        <v>ok</v>
      </c>
      <c r="G199" s="5" t="s">
        <v>1159</v>
      </c>
    </row>
    <row r="200" spans="1:7">
      <c r="A200" s="10" t="s">
        <v>1160</v>
      </c>
      <c r="B200" s="13">
        <f>SUM(B195:B199)</f>
        <v>119004.31</v>
      </c>
      <c r="C200" s="13">
        <f>SUM(C195:C199)</f>
        <v>121821.12</v>
      </c>
      <c r="D200" s="13">
        <f>C200-B200</f>
        <v>2816.81</v>
      </c>
      <c r="E200" s="9">
        <f>(C200-B200)/B200</f>
        <v>0.024</v>
      </c>
      <c r="F200" s="5" t="str">
        <f>IF(AND(C200&gt;0,C200&gt;B200*1.1),"OVER","ok")</f>
        <v>ok</v>
      </c>
    </row>
    <row r="202" spans="1:7">
      <c r="A202" s="10" t="s">
        <v>1264</v>
      </c>
    </row>
    <row r="203" spans="1:7">
      <c r="A203" s="4" t="s">
        <v>321</v>
      </c>
      <c r="B203" s="4" t="s">
        <v>1149</v>
      </c>
      <c r="C203" s="4" t="s">
        <v>1150</v>
      </c>
      <c r="D203" s="4" t="s">
        <v>1151</v>
      </c>
      <c r="E203" s="4" t="s">
        <v>1152</v>
      </c>
      <c r="F203" s="4" t="s">
        <v>1153</v>
      </c>
      <c r="G203" s="4" t="s">
        <v>1154</v>
      </c>
    </row>
    <row r="204" spans="1:7">
      <c r="A204" s="5" t="s">
        <v>340</v>
      </c>
      <c r="B204" s="6">
        <v>16275.54</v>
      </c>
      <c r="C204" s="6">
        <v>17107.2</v>
      </c>
      <c r="D204" s="6">
        <f>C204-B204</f>
        <v>831.66</v>
      </c>
      <c r="E204" s="9">
        <f>IF(B204=0,0,(C204-B204)/B204)</f>
        <v>0.051</v>
      </c>
      <c r="F204" s="5" t="str">
        <f>IF(AND(C204&gt;0,C204&gt;B204*1.1),"OVER","ok")</f>
        <v>ok</v>
      </c>
      <c r="G204" s="5" t="s">
        <v>1265</v>
      </c>
    </row>
    <row r="205" spans="1:7">
      <c r="A205" s="5" t="s">
        <v>329</v>
      </c>
      <c r="B205" s="6">
        <v>18376.99</v>
      </c>
      <c r="C205" s="6">
        <v>20453.22</v>
      </c>
      <c r="D205" s="6">
        <f>C205-B205</f>
        <v>2076.23</v>
      </c>
      <c r="E205" s="9">
        <f>IF(B205=0,0,(C205-B205)/B205)</f>
        <v>0.113</v>
      </c>
      <c r="F205" s="5" t="str">
        <f>IF(AND(C205&gt;0,C205&gt;B205*1.1),"OVER","ok")</f>
        <v>OVER</v>
      </c>
      <c r="G205" s="5" t="s">
        <v>1266</v>
      </c>
    </row>
    <row r="206" spans="1:7">
      <c r="A206" s="5" t="s">
        <v>325</v>
      </c>
      <c r="B206" s="6">
        <v>36924.84</v>
      </c>
      <c r="C206" s="6">
        <v>34497.9</v>
      </c>
      <c r="D206" s="6">
        <f>C206-B206</f>
        <v>-2426.94</v>
      </c>
      <c r="E206" s="9">
        <f>IF(B206=0,0,(C206-B206)/B206)</f>
        <v>-0.066</v>
      </c>
      <c r="F206" s="5" t="str">
        <f>IF(AND(C206&gt;0,C206&gt;B206*1.1),"OVER","ok")</f>
        <v>ok</v>
      </c>
      <c r="G206" s="5" t="s">
        <v>1267</v>
      </c>
    </row>
    <row r="207" spans="1:7">
      <c r="A207" s="5" t="s">
        <v>375</v>
      </c>
      <c r="B207" s="6">
        <v>6804.32</v>
      </c>
      <c r="C207" s="6">
        <v>7733.7</v>
      </c>
      <c r="D207" s="6">
        <f>C207-B207</f>
        <v>929.38</v>
      </c>
      <c r="E207" s="9">
        <f>IF(B207=0,0,(C207-B207)/B207)</f>
        <v>0.13699999999999998</v>
      </c>
      <c r="F207" s="5" t="str">
        <f>IF(AND(C207&gt;0,C207&gt;B207*1.1),"OVER","ok")</f>
        <v>OVER</v>
      </c>
      <c r="G207" s="5" t="s">
        <v>1268</v>
      </c>
    </row>
    <row r="208" spans="1:7">
      <c r="A208" s="5" t="s">
        <v>356</v>
      </c>
      <c r="B208" s="6">
        <v>7838.17</v>
      </c>
      <c r="C208" s="6">
        <v>7618.86</v>
      </c>
      <c r="D208" s="6">
        <f>C208-B208</f>
        <v>-219.31</v>
      </c>
      <c r="E208" s="9">
        <f>IF(B208=0,0,(C208-B208)/B208)</f>
        <v>-0.027999999999999997</v>
      </c>
      <c r="F208" s="5" t="str">
        <f>IF(AND(C208&gt;0,C208&gt;B208*1.1),"OVER","ok")</f>
        <v>ok</v>
      </c>
      <c r="G208" s="5" t="s">
        <v>1159</v>
      </c>
    </row>
    <row r="209" spans="1:7">
      <c r="A209" s="10" t="s">
        <v>1160</v>
      </c>
      <c r="B209" s="13">
        <f>SUM(B204:B208)</f>
        <v>86219.86</v>
      </c>
      <c r="C209" s="13">
        <f>SUM(C204:C208)</f>
        <v>87410.88</v>
      </c>
      <c r="D209" s="13">
        <f>C209-B209</f>
        <v>1191.02</v>
      </c>
      <c r="E209" s="9">
        <f>(C209-B209)/B209</f>
        <v>0.013999999999999999</v>
      </c>
      <c r="F209" s="5" t="str">
        <f>IF(AND(C209&gt;0,C209&gt;B209*1.1),"OVER","ok")</f>
        <v>ok</v>
      </c>
    </row>
    <row r="211" spans="1:7">
      <c r="A211" s="10" t="s">
        <v>1269</v>
      </c>
    </row>
    <row r="212" spans="1:7">
      <c r="A212" s="4" t="s">
        <v>321</v>
      </c>
      <c r="B212" s="4" t="s">
        <v>1149</v>
      </c>
      <c r="C212" s="4" t="s">
        <v>1150</v>
      </c>
      <c r="D212" s="4" t="s">
        <v>1151</v>
      </c>
      <c r="E212" s="4" t="s">
        <v>1152</v>
      </c>
      <c r="F212" s="4" t="s">
        <v>1153</v>
      </c>
      <c r="G212" s="4" t="s">
        <v>1154</v>
      </c>
    </row>
    <row r="213" spans="1:7">
      <c r="A213" s="5" t="s">
        <v>340</v>
      </c>
      <c r="B213" s="6">
        <v>10831.28</v>
      </c>
      <c r="C213" s="6">
        <v>9800.280000000001</v>
      </c>
      <c r="D213" s="6">
        <f>C213-B213</f>
        <v>-1031.0</v>
      </c>
      <c r="E213" s="9">
        <f>IF(B213=0,0,(C213-B213)/B213)</f>
        <v>-0.095</v>
      </c>
      <c r="F213" s="5" t="str">
        <f>IF(AND(C213&gt;0,C213&gt;B213*1.1),"OVER","ok")</f>
        <v>ok</v>
      </c>
      <c r="G213" s="5" t="s">
        <v>1162</v>
      </c>
    </row>
    <row r="214" spans="1:7">
      <c r="A214" s="5" t="s">
        <v>329</v>
      </c>
      <c r="B214" s="6">
        <v>15547.77</v>
      </c>
      <c r="C214" s="6">
        <v>16724.88</v>
      </c>
      <c r="D214" s="6">
        <f>C214-B214</f>
        <v>1177.11</v>
      </c>
      <c r="E214" s="9">
        <f>IF(B214=0,0,(C214-B214)/B214)</f>
        <v>0.076</v>
      </c>
      <c r="F214" s="5" t="str">
        <f>IF(AND(C214&gt;0,C214&gt;B214*1.1),"OVER","ok")</f>
        <v>ok</v>
      </c>
      <c r="G214" s="5" t="s">
        <v>1270</v>
      </c>
    </row>
    <row r="215" spans="1:7">
      <c r="A215" s="5" t="s">
        <v>325</v>
      </c>
      <c r="B215" s="6">
        <v>33627.16</v>
      </c>
      <c r="C215" s="6">
        <v>31006.8</v>
      </c>
      <c r="D215" s="6">
        <f>C215-B215</f>
        <v>-2620.36</v>
      </c>
      <c r="E215" s="9">
        <f>IF(B215=0,0,(C215-B215)/B215)</f>
        <v>-0.078</v>
      </c>
      <c r="F215" s="5" t="str">
        <f>IF(AND(C215&gt;0,C215&gt;B215*1.1),"OVER","ok")</f>
        <v>ok</v>
      </c>
      <c r="G215" s="5" t="s">
        <v>1271</v>
      </c>
    </row>
    <row r="216" spans="1:7">
      <c r="A216" s="5" t="s">
        <v>375</v>
      </c>
      <c r="B216" s="6">
        <v>5599.36</v>
      </c>
      <c r="C216" s="6">
        <v>7752.6</v>
      </c>
      <c r="D216" s="6">
        <f>C216-B216</f>
        <v>2153.24</v>
      </c>
      <c r="E216" s="9">
        <f>IF(B216=0,0,(C216-B216)/B216)</f>
        <v>0.385</v>
      </c>
      <c r="F216" s="5" t="str">
        <f>IF(AND(C216&gt;0,C216&gt;B216*1.1),"OVER","ok")</f>
        <v>OVER</v>
      </c>
      <c r="G216" s="5" t="s">
        <v>1272</v>
      </c>
    </row>
    <row r="217" spans="1:7">
      <c r="A217" s="5" t="s">
        <v>356</v>
      </c>
      <c r="B217" s="6">
        <v>6560.56</v>
      </c>
      <c r="C217" s="6">
        <v>7840.26</v>
      </c>
      <c r="D217" s="6">
        <f>C217-B217</f>
        <v>1279.7</v>
      </c>
      <c r="E217" s="9">
        <f>IF(B217=0,0,(C217-B217)/B217)</f>
        <v>0.195</v>
      </c>
      <c r="F217" s="5" t="str">
        <f>IF(AND(C217&gt;0,C217&gt;B217*1.1),"OVER","ok")</f>
        <v>OVER</v>
      </c>
      <c r="G217" s="5" t="s">
        <v>1159</v>
      </c>
    </row>
    <row r="218" spans="1:7">
      <c r="A218" s="10" t="s">
        <v>1160</v>
      </c>
      <c r="B218" s="13">
        <f>SUM(B213:B217)</f>
        <v>72166.13</v>
      </c>
      <c r="C218" s="13">
        <f>SUM(C213:C217)</f>
        <v>73124.82</v>
      </c>
      <c r="D218" s="13">
        <f>C218-B218</f>
        <v>958.69</v>
      </c>
      <c r="E218" s="9">
        <f>(C218-B218)/B218</f>
        <v>0.013000000000000001</v>
      </c>
      <c r="F218" s="5" t="str">
        <f>IF(AND(C218&gt;0,C218&gt;B218*1.1),"OVER","ok")</f>
        <v>ok</v>
      </c>
    </row>
    <row r="220" spans="1:7">
      <c r="A220" s="10" t="s">
        <v>1273</v>
      </c>
    </row>
    <row r="221" spans="1:7">
      <c r="A221" s="4" t="s">
        <v>321</v>
      </c>
      <c r="B221" s="4" t="s">
        <v>1149</v>
      </c>
      <c r="C221" s="4" t="s">
        <v>1150</v>
      </c>
      <c r="D221" s="4" t="s">
        <v>1151</v>
      </c>
      <c r="E221" s="4" t="s">
        <v>1152</v>
      </c>
      <c r="F221" s="4" t="s">
        <v>1153</v>
      </c>
      <c r="G221" s="4" t="s">
        <v>1154</v>
      </c>
    </row>
    <row r="222" spans="1:7">
      <c r="A222" s="5" t="s">
        <v>340</v>
      </c>
      <c r="B222" s="6">
        <v>22936.12</v>
      </c>
      <c r="C222" s="6">
        <v>22746.96</v>
      </c>
      <c r="D222" s="6">
        <f>C222-B222</f>
        <v>-189.16</v>
      </c>
      <c r="E222" s="9">
        <f>IF(B222=0,0,(C222-B222)/B222)</f>
        <v>-0.008</v>
      </c>
      <c r="F222" s="5" t="str">
        <f>IF(AND(C222&gt;0,C222&gt;B222*1.1),"OVER","ok")</f>
        <v>ok</v>
      </c>
      <c r="G222" s="5" t="s">
        <v>1274</v>
      </c>
    </row>
    <row r="223" spans="1:7">
      <c r="A223" s="5" t="s">
        <v>329</v>
      </c>
      <c r="B223" s="6">
        <v>31248.9</v>
      </c>
      <c r="C223" s="6">
        <v>28646.82</v>
      </c>
      <c r="D223" s="6">
        <f>C223-B223</f>
        <v>-2602.08</v>
      </c>
      <c r="E223" s="9">
        <f>IF(B223=0,0,(C223-B223)/B223)</f>
        <v>-0.083</v>
      </c>
      <c r="F223" s="5" t="str">
        <f>IF(AND(C223&gt;0,C223&gt;B223*1.1),"OVER","ok")</f>
        <v>ok</v>
      </c>
      <c r="G223" s="5" t="s">
        <v>1275</v>
      </c>
    </row>
    <row r="224" spans="1:7">
      <c r="A224" s="5" t="s">
        <v>325</v>
      </c>
      <c r="B224" s="6">
        <v>23191.21</v>
      </c>
      <c r="C224" s="6">
        <v>22258.98</v>
      </c>
      <c r="D224" s="6">
        <f>C224-B224</f>
        <v>-932.23</v>
      </c>
      <c r="E224" s="9">
        <f>IF(B224=0,0,(C224-B224)/B224)</f>
        <v>-0.04</v>
      </c>
      <c r="F224" s="5" t="str">
        <f>IF(AND(C224&gt;0,C224&gt;B224*1.1),"OVER","ok")</f>
        <v>ok</v>
      </c>
      <c r="G224" s="5" t="s">
        <v>1276</v>
      </c>
    </row>
    <row r="225" spans="1:7">
      <c r="A225" s="5" t="s">
        <v>375</v>
      </c>
      <c r="B225" s="6">
        <v>5891.73</v>
      </c>
      <c r="C225" s="6">
        <v>7801.74</v>
      </c>
      <c r="D225" s="6">
        <f>C225-B225</f>
        <v>1910.01</v>
      </c>
      <c r="E225" s="9">
        <f>IF(B225=0,0,(C225-B225)/B225)</f>
        <v>0.324</v>
      </c>
      <c r="F225" s="5" t="str">
        <f>IF(AND(C225&gt;0,C225&gt;B225*1.1),"OVER","ok")</f>
        <v>OVER</v>
      </c>
      <c r="G225" s="5" t="s">
        <v>1277</v>
      </c>
    </row>
    <row r="226" spans="1:7">
      <c r="A226" s="5" t="s">
        <v>356</v>
      </c>
      <c r="B226" s="6">
        <v>8326.799999999999</v>
      </c>
      <c r="C226" s="6">
        <v>10118.34</v>
      </c>
      <c r="D226" s="6">
        <f>C226-B226</f>
        <v>1791.54</v>
      </c>
      <c r="E226" s="9">
        <f>IF(B226=0,0,(C226-B226)/B226)</f>
        <v>0.215</v>
      </c>
      <c r="F226" s="5" t="str">
        <f>IF(AND(C226&gt;0,C226&gt;B226*1.1),"OVER","ok")</f>
        <v>OVER</v>
      </c>
      <c r="G226" s="5" t="s">
        <v>1159</v>
      </c>
    </row>
    <row r="227" spans="1:7">
      <c r="A227" s="10" t="s">
        <v>1160</v>
      </c>
      <c r="B227" s="13">
        <f>SUM(B222:B226)</f>
        <v>91594.76</v>
      </c>
      <c r="C227" s="13">
        <f>SUM(C222:C226)</f>
        <v>91572.84</v>
      </c>
      <c r="D227" s="13">
        <f>C227-B227</f>
        <v>-21.92</v>
      </c>
      <c r="E227" s="9">
        <f>(C227-B227)/B227</f>
        <v>-0.0</v>
      </c>
      <c r="F227" s="5" t="str">
        <f>IF(AND(C227&gt;0,C227&gt;B227*1.1),"OVER","ok")</f>
        <v>ok</v>
      </c>
    </row>
    <row r="229" spans="1:7">
      <c r="A229" s="10" t="s">
        <v>1278</v>
      </c>
    </row>
    <row r="230" spans="1:7">
      <c r="A230" s="4" t="s">
        <v>321</v>
      </c>
      <c r="B230" s="4" t="s">
        <v>1149</v>
      </c>
      <c r="C230" s="4" t="s">
        <v>1150</v>
      </c>
      <c r="D230" s="4" t="s">
        <v>1151</v>
      </c>
      <c r="E230" s="4" t="s">
        <v>1152</v>
      </c>
      <c r="F230" s="4" t="s">
        <v>1153</v>
      </c>
      <c r="G230" s="4" t="s">
        <v>1154</v>
      </c>
    </row>
    <row r="231" spans="1:7">
      <c r="A231" s="5" t="s">
        <v>340</v>
      </c>
      <c r="B231" s="6">
        <v>11343.39</v>
      </c>
      <c r="C231" s="6">
        <v>11607.12</v>
      </c>
      <c r="D231" s="6">
        <f>C231-B231</f>
        <v>263.73</v>
      </c>
      <c r="E231" s="9">
        <f>IF(B231=0,0,(C231-B231)/B231)</f>
        <v>0.023</v>
      </c>
      <c r="F231" s="5" t="str">
        <f>IF(AND(C231&gt;0,C231&gt;B231*1.1),"OVER","ok")</f>
        <v>ok</v>
      </c>
      <c r="G231" s="5" t="s">
        <v>1279</v>
      </c>
    </row>
    <row r="232" spans="1:7">
      <c r="A232" s="5" t="s">
        <v>329</v>
      </c>
      <c r="B232" s="6">
        <v>18739.71</v>
      </c>
      <c r="C232" s="6">
        <v>20157.12</v>
      </c>
      <c r="D232" s="6">
        <f>C232-B232</f>
        <v>1417.41</v>
      </c>
      <c r="E232" s="9">
        <f>IF(B232=0,0,(C232-B232)/B232)</f>
        <v>0.076</v>
      </c>
      <c r="F232" s="5" t="str">
        <f>IF(AND(C232&gt;0,C232&gt;B232*1.1),"OVER","ok")</f>
        <v>ok</v>
      </c>
      <c r="G232" s="5" t="s">
        <v>1280</v>
      </c>
    </row>
    <row r="233" spans="1:7">
      <c r="A233" s="5" t="s">
        <v>325</v>
      </c>
      <c r="B233" s="6">
        <v>32480.69</v>
      </c>
      <c r="C233" s="6">
        <v>37311.3</v>
      </c>
      <c r="D233" s="6">
        <f>C233-B233</f>
        <v>4830.61</v>
      </c>
      <c r="E233" s="9">
        <f>IF(B233=0,0,(C233-B233)/B233)</f>
        <v>0.149</v>
      </c>
      <c r="F233" s="5" t="str">
        <f>IF(AND(C233&gt;0,C233&gt;B233*1.1),"OVER","ok")</f>
        <v>OVER</v>
      </c>
      <c r="G233" s="5" t="s">
        <v>1281</v>
      </c>
    </row>
    <row r="234" spans="1:7">
      <c r="A234" s="5" t="s">
        <v>375</v>
      </c>
      <c r="B234" s="6">
        <v>8421.33</v>
      </c>
      <c r="C234" s="6">
        <v>8044.2</v>
      </c>
      <c r="D234" s="6">
        <f>C234-B234</f>
        <v>-377.13</v>
      </c>
      <c r="E234" s="9">
        <f>IF(B234=0,0,(C234-B234)/B234)</f>
        <v>-0.045</v>
      </c>
      <c r="F234" s="5" t="str">
        <f>IF(AND(C234&gt;0,C234&gt;B234*1.1),"OVER","ok")</f>
        <v>ok</v>
      </c>
      <c r="G234" s="5" t="s">
        <v>1282</v>
      </c>
    </row>
    <row r="235" spans="1:7">
      <c r="A235" s="5" t="s">
        <v>356</v>
      </c>
      <c r="B235" s="6">
        <v>7098.51</v>
      </c>
      <c r="C235" s="6">
        <v>0</v>
      </c>
      <c r="D235" s="6">
        <f>C235-B235</f>
        <v>-7098.51</v>
      </c>
      <c r="E235" s="9">
        <f>IF(B235=0,0,(C235-B235)/B235)</f>
        <v>-1.0</v>
      </c>
      <c r="F235" s="5" t="str">
        <f>IF(AND(C235&gt;0,C235&gt;B235*1.1),"OVER","ok")</f>
        <v>ok</v>
      </c>
      <c r="G235" s="5" t="s">
        <v>1159</v>
      </c>
    </row>
    <row r="236" spans="1:7">
      <c r="A236" s="10" t="s">
        <v>1160</v>
      </c>
      <c r="B236" s="13">
        <f>SUM(B231:B235)</f>
        <v>78083.63</v>
      </c>
      <c r="C236" s="13">
        <f>SUM(C231:C235)</f>
        <v>77119.74</v>
      </c>
      <c r="D236" s="13">
        <f>C236-B236</f>
        <v>-963.89</v>
      </c>
      <c r="E236" s="9">
        <f>(C236-B236)/B236</f>
        <v>-0.012</v>
      </c>
      <c r="F236" s="5" t="str">
        <f>IF(AND(C236&gt;0,C236&gt;B236*1.1),"OVER","ok")</f>
        <v>ok</v>
      </c>
    </row>
    <row r="238" spans="1:7">
      <c r="A238" s="10" t="s">
        <v>1283</v>
      </c>
    </row>
    <row r="239" spans="1:7">
      <c r="A239" s="4" t="s">
        <v>321</v>
      </c>
      <c r="B239" s="4" t="s">
        <v>1149</v>
      </c>
      <c r="C239" s="4" t="s">
        <v>1150</v>
      </c>
      <c r="D239" s="4" t="s">
        <v>1151</v>
      </c>
      <c r="E239" s="4" t="s">
        <v>1152</v>
      </c>
      <c r="F239" s="4" t="s">
        <v>1153</v>
      </c>
      <c r="G239" s="4" t="s">
        <v>1154</v>
      </c>
    </row>
    <row r="240" spans="1:7">
      <c r="A240" s="5" t="s">
        <v>340</v>
      </c>
      <c r="B240" s="6">
        <v>12388.03</v>
      </c>
      <c r="C240" s="6">
        <v>11025</v>
      </c>
      <c r="D240" s="6">
        <f>C240-B240</f>
        <v>-1363.03</v>
      </c>
      <c r="E240" s="9">
        <f>IF(B240=0,0,(C240-B240)/B240)</f>
        <v>-0.11</v>
      </c>
      <c r="F240" s="5" t="str">
        <f>IF(AND(C240&gt;0,C240&gt;B240*1.1),"OVER","ok")</f>
        <v>ok</v>
      </c>
      <c r="G240" s="5" t="s">
        <v>1284</v>
      </c>
    </row>
    <row r="241" spans="1:7">
      <c r="A241" s="5" t="s">
        <v>329</v>
      </c>
      <c r="B241" s="6">
        <v>24700.98</v>
      </c>
      <c r="C241" s="6">
        <v>24950.7</v>
      </c>
      <c r="D241" s="6">
        <f>C241-B241</f>
        <v>249.72</v>
      </c>
      <c r="E241" s="9">
        <f>IF(B241=0,0,(C241-B241)/B241)</f>
        <v>0.01</v>
      </c>
      <c r="F241" s="5" t="str">
        <f>IF(AND(C241&gt;0,C241&gt;B241*1.1),"OVER","ok")</f>
        <v>ok</v>
      </c>
      <c r="G241" s="5" t="s">
        <v>1285</v>
      </c>
    </row>
    <row r="242" spans="1:7">
      <c r="A242" s="5" t="s">
        <v>325</v>
      </c>
      <c r="B242" s="6">
        <v>25728.62</v>
      </c>
      <c r="C242" s="6">
        <v>23564.88</v>
      </c>
      <c r="D242" s="6">
        <f>C242-B242</f>
        <v>-2163.74</v>
      </c>
      <c r="E242" s="9">
        <f>IF(B242=0,0,(C242-B242)/B242)</f>
        <v>-0.084</v>
      </c>
      <c r="F242" s="5" t="str">
        <f>IF(AND(C242&gt;0,C242&gt;B242*1.1),"OVER","ok")</f>
        <v>ok</v>
      </c>
      <c r="G242" s="5" t="s">
        <v>1286</v>
      </c>
    </row>
    <row r="243" spans="1:7">
      <c r="A243" s="5" t="s">
        <v>375</v>
      </c>
      <c r="B243" s="6">
        <v>7655.93</v>
      </c>
      <c r="C243" s="6">
        <v>8394.120000000001</v>
      </c>
      <c r="D243" s="6">
        <f>C243-B243</f>
        <v>738.19</v>
      </c>
      <c r="E243" s="9">
        <f>IF(B243=0,0,(C243-B243)/B243)</f>
        <v>0.096</v>
      </c>
      <c r="F243" s="5" t="str">
        <f>IF(AND(C243&gt;0,C243&gt;B243*1.1),"OVER","ok")</f>
        <v>ok</v>
      </c>
      <c r="G243" s="5" t="s">
        <v>1287</v>
      </c>
    </row>
    <row r="244" spans="1:7">
      <c r="A244" s="5" t="s">
        <v>356</v>
      </c>
      <c r="B244" s="6">
        <v>7047.36</v>
      </c>
      <c r="C244" s="6">
        <v>7876.8</v>
      </c>
      <c r="D244" s="6">
        <f>C244-B244</f>
        <v>829.44</v>
      </c>
      <c r="E244" s="9">
        <f>IF(B244=0,0,(C244-B244)/B244)</f>
        <v>0.11800000000000001</v>
      </c>
      <c r="F244" s="5" t="str">
        <f>IF(AND(C244&gt;0,C244&gt;B244*1.1),"OVER","ok")</f>
        <v>OVER</v>
      </c>
      <c r="G244" s="5" t="s">
        <v>1159</v>
      </c>
    </row>
    <row r="245" spans="1:7">
      <c r="A245" s="10" t="s">
        <v>1160</v>
      </c>
      <c r="B245" s="13">
        <f>SUM(B240:B244)</f>
        <v>77520.92</v>
      </c>
      <c r="C245" s="13">
        <f>SUM(C240:C244)</f>
        <v>75811.5</v>
      </c>
      <c r="D245" s="13">
        <f>C245-B245</f>
        <v>-1709.42</v>
      </c>
      <c r="E245" s="9">
        <f>(C245-B245)/B245</f>
        <v>-0.022000000000000002</v>
      </c>
      <c r="F245" s="5" t="str">
        <f>IF(AND(C245&gt;0,C245&gt;B245*1.1),"OVER","ok")</f>
        <v>ok</v>
      </c>
    </row>
    <row r="247" spans="1:7">
      <c r="A247" s="10" t="s">
        <v>1288</v>
      </c>
    </row>
    <row r="248" spans="1:7">
      <c r="A248" s="4" t="s">
        <v>321</v>
      </c>
      <c r="B248" s="4" t="s">
        <v>1149</v>
      </c>
      <c r="C248" s="4" t="s">
        <v>1150</v>
      </c>
      <c r="D248" s="4" t="s">
        <v>1151</v>
      </c>
      <c r="E248" s="4" t="s">
        <v>1152</v>
      </c>
      <c r="F248" s="4" t="s">
        <v>1153</v>
      </c>
      <c r="G248" s="4" t="s">
        <v>1154</v>
      </c>
    </row>
    <row r="249" spans="1:7">
      <c r="A249" s="5" t="s">
        <v>340</v>
      </c>
      <c r="B249" s="6">
        <v>23194.72</v>
      </c>
      <c r="C249" s="6">
        <v>23243.76</v>
      </c>
      <c r="D249" s="6">
        <f>C249-B249</f>
        <v>49.04</v>
      </c>
      <c r="E249" s="9">
        <f>IF(B249=0,0,(C249-B249)/B249)</f>
        <v>0.002</v>
      </c>
      <c r="F249" s="5" t="str">
        <f>IF(AND(C249&gt;0,C249&gt;B249*1.1),"OVER","ok")</f>
        <v>ok</v>
      </c>
      <c r="G249" s="5" t="s">
        <v>1289</v>
      </c>
    </row>
    <row r="250" spans="1:7">
      <c r="A250" s="5" t="s">
        <v>329</v>
      </c>
      <c r="B250" s="6">
        <v>31697.37</v>
      </c>
      <c r="C250" s="6">
        <v>29375.82</v>
      </c>
      <c r="D250" s="6">
        <f>C250-B250</f>
        <v>-2321.55</v>
      </c>
      <c r="E250" s="9">
        <f>IF(B250=0,0,(C250-B250)/B250)</f>
        <v>-0.073</v>
      </c>
      <c r="F250" s="5" t="str">
        <f>IF(AND(C250&gt;0,C250&gt;B250*1.1),"OVER","ok")</f>
        <v>ok</v>
      </c>
      <c r="G250" s="5" t="s">
        <v>1290</v>
      </c>
    </row>
    <row r="251" spans="1:7">
      <c r="A251" s="5" t="s">
        <v>325</v>
      </c>
      <c r="B251" s="6">
        <v>27486.8</v>
      </c>
      <c r="C251" s="6">
        <v>22807.8</v>
      </c>
      <c r="D251" s="6">
        <f>C251-B251</f>
        <v>-4679.0</v>
      </c>
      <c r="E251" s="9">
        <f>IF(B251=0,0,(C251-B251)/B251)</f>
        <v>-0.17</v>
      </c>
      <c r="F251" s="5" t="str">
        <f>IF(AND(C251&gt;0,C251&gt;B251*1.1),"OVER","ok")</f>
        <v>ok</v>
      </c>
      <c r="G251" s="5" t="s">
        <v>1291</v>
      </c>
    </row>
    <row r="252" spans="1:7">
      <c r="A252" s="5" t="s">
        <v>375</v>
      </c>
      <c r="B252" s="6">
        <v>6795.16</v>
      </c>
      <c r="C252" s="6">
        <v>8733.24</v>
      </c>
      <c r="D252" s="6">
        <f>C252-B252</f>
        <v>1938.08</v>
      </c>
      <c r="E252" s="9">
        <f>IF(B252=0,0,(C252-B252)/B252)</f>
        <v>0.285</v>
      </c>
      <c r="F252" s="5" t="str">
        <f>IF(AND(C252&gt;0,C252&gt;B252*1.1),"OVER","ok")</f>
        <v>OVER</v>
      </c>
      <c r="G252" s="5" t="s">
        <v>1292</v>
      </c>
    </row>
    <row r="253" spans="1:7">
      <c r="A253" s="5" t="s">
        <v>356</v>
      </c>
      <c r="B253" s="6">
        <v>8917.41</v>
      </c>
      <c r="C253" s="6">
        <v>10168.56</v>
      </c>
      <c r="D253" s="6">
        <f>C253-B253</f>
        <v>1251.15</v>
      </c>
      <c r="E253" s="9">
        <f>IF(B253=0,0,(C253-B253)/B253)</f>
        <v>0.14</v>
      </c>
      <c r="F253" s="5" t="str">
        <f>IF(AND(C253&gt;0,C253&gt;B253*1.1),"OVER","ok")</f>
        <v>OVER</v>
      </c>
      <c r="G253" s="5" t="s">
        <v>1159</v>
      </c>
    </row>
    <row r="254" spans="1:7">
      <c r="A254" s="10" t="s">
        <v>1160</v>
      </c>
      <c r="B254" s="13">
        <f>SUM(B249:B253)</f>
        <v>98091.46</v>
      </c>
      <c r="C254" s="13">
        <f>SUM(C249:C253)</f>
        <v>94329.18</v>
      </c>
      <c r="D254" s="13">
        <f>C254-B254</f>
        <v>-3762.28</v>
      </c>
      <c r="E254" s="9">
        <f>(C254-B254)/B254</f>
        <v>-0.038</v>
      </c>
      <c r="F254" s="5" t="str">
        <f>IF(AND(C254&gt;0,C254&gt;B254*1.1),"OVER","ok")</f>
        <v>ok</v>
      </c>
    </row>
    <row r="256" spans="1:7">
      <c r="A256" s="10" t="s">
        <v>1293</v>
      </c>
    </row>
    <row r="257" spans="1:7">
      <c r="A257" s="4" t="s">
        <v>321</v>
      </c>
      <c r="B257" s="4" t="s">
        <v>1149</v>
      </c>
      <c r="C257" s="4" t="s">
        <v>1150</v>
      </c>
      <c r="D257" s="4" t="s">
        <v>1151</v>
      </c>
      <c r="E257" s="4" t="s">
        <v>1152</v>
      </c>
      <c r="F257" s="4" t="s">
        <v>1153</v>
      </c>
      <c r="G257" s="4" t="s">
        <v>1154</v>
      </c>
    </row>
    <row r="258" spans="1:7">
      <c r="A258" s="5" t="s">
        <v>340</v>
      </c>
      <c r="B258" s="6">
        <v>10438.78</v>
      </c>
      <c r="C258" s="6">
        <v>9866.879999999999</v>
      </c>
      <c r="D258" s="6">
        <f>C258-B258</f>
        <v>-571.9</v>
      </c>
      <c r="E258" s="9">
        <f>IF(B258=0,0,(C258-B258)/B258)</f>
        <v>-0.055</v>
      </c>
      <c r="F258" s="5" t="str">
        <f>IF(AND(C258&gt;0,C258&gt;B258*1.1),"OVER","ok")</f>
        <v>ok</v>
      </c>
      <c r="G258" s="5" t="s">
        <v>1294</v>
      </c>
    </row>
    <row r="259" spans="1:7">
      <c r="A259" s="5" t="s">
        <v>329</v>
      </c>
      <c r="B259" s="6">
        <v>17583.45</v>
      </c>
      <c r="C259" s="6">
        <v>17020.8</v>
      </c>
      <c r="D259" s="6">
        <f>C259-B259</f>
        <v>-562.65</v>
      </c>
      <c r="E259" s="9">
        <f>IF(B259=0,0,(C259-B259)/B259)</f>
        <v>-0.032</v>
      </c>
      <c r="F259" s="5" t="str">
        <f>IF(AND(C259&gt;0,C259&gt;B259*1.1),"OVER","ok")</f>
        <v>ok</v>
      </c>
      <c r="G259" s="5" t="s">
        <v>1295</v>
      </c>
    </row>
    <row r="260" spans="1:7">
      <c r="A260" s="5" t="s">
        <v>325</v>
      </c>
      <c r="B260" s="6">
        <v>27154.01</v>
      </c>
      <c r="C260" s="6">
        <v>22958.1</v>
      </c>
      <c r="D260" s="6">
        <f>C260-B260</f>
        <v>-4195.91</v>
      </c>
      <c r="E260" s="9">
        <f>IF(B260=0,0,(C260-B260)/B260)</f>
        <v>-0.155</v>
      </c>
      <c r="F260" s="5" t="str">
        <f>IF(AND(C260&gt;0,C260&gt;B260*1.1),"OVER","ok")</f>
        <v>ok</v>
      </c>
      <c r="G260" s="5" t="s">
        <v>1296</v>
      </c>
    </row>
    <row r="261" spans="1:7">
      <c r="A261" s="5" t="s">
        <v>375</v>
      </c>
      <c r="B261" s="6">
        <v>6029.64</v>
      </c>
      <c r="C261" s="6">
        <v>7386.48</v>
      </c>
      <c r="D261" s="6">
        <f>C261-B261</f>
        <v>1356.84</v>
      </c>
      <c r="E261" s="9">
        <f>IF(B261=0,0,(C261-B261)/B261)</f>
        <v>0.225</v>
      </c>
      <c r="F261" s="5" t="str">
        <f>IF(AND(C261&gt;0,C261&gt;B261*1.1),"OVER","ok")</f>
        <v>OVER</v>
      </c>
      <c r="G261" s="5" t="s">
        <v>1297</v>
      </c>
    </row>
    <row r="262" spans="1:7">
      <c r="A262" s="5" t="s">
        <v>356</v>
      </c>
      <c r="B262" s="6">
        <v>6120.59</v>
      </c>
      <c r="C262" s="6">
        <v>7499.52</v>
      </c>
      <c r="D262" s="6">
        <f>C262-B262</f>
        <v>1378.93</v>
      </c>
      <c r="E262" s="9">
        <f>IF(B262=0,0,(C262-B262)/B262)</f>
        <v>0.225</v>
      </c>
      <c r="F262" s="5" t="str">
        <f>IF(AND(C262&gt;0,C262&gt;B262*1.1),"OVER","ok")</f>
        <v>OVER</v>
      </c>
      <c r="G262" s="5" t="s">
        <v>1159</v>
      </c>
    </row>
    <row r="263" spans="1:7">
      <c r="A263" s="10" t="s">
        <v>1160</v>
      </c>
      <c r="B263" s="13">
        <f>SUM(B258:B262)</f>
        <v>67326.47</v>
      </c>
      <c r="C263" s="13">
        <f>SUM(C258:C262)</f>
        <v>64731.78</v>
      </c>
      <c r="D263" s="13">
        <f>C263-B263</f>
        <v>-2594.69</v>
      </c>
      <c r="E263" s="9">
        <f>(C263-B263)/B263</f>
        <v>-0.039</v>
      </c>
      <c r="F263" s="5" t="str">
        <f>IF(AND(C263&gt;0,C263&gt;B263*1.1),"OVER","ok")</f>
        <v>ok</v>
      </c>
    </row>
    <row r="265" spans="1:7">
      <c r="A265" s="10" t="s">
        <v>1298</v>
      </c>
    </row>
    <row r="266" spans="1:7">
      <c r="A266" s="4" t="s">
        <v>321</v>
      </c>
      <c r="B266" s="4" t="s">
        <v>1149</v>
      </c>
      <c r="C266" s="4" t="s">
        <v>1150</v>
      </c>
      <c r="D266" s="4" t="s">
        <v>1151</v>
      </c>
      <c r="E266" s="4" t="s">
        <v>1152</v>
      </c>
      <c r="F266" s="4" t="s">
        <v>1153</v>
      </c>
      <c r="G266" s="4" t="s">
        <v>1154</v>
      </c>
    </row>
    <row r="267" spans="1:7">
      <c r="A267" s="5" t="s">
        <v>340</v>
      </c>
      <c r="B267" s="6">
        <v>9935.709999999999</v>
      </c>
      <c r="C267" s="6">
        <v>10799.82</v>
      </c>
      <c r="D267" s="6">
        <f>C267-B267</f>
        <v>864.11</v>
      </c>
      <c r="E267" s="9">
        <f>IF(B267=0,0,(C267-B267)/B267)</f>
        <v>0.087</v>
      </c>
      <c r="F267" s="5" t="str">
        <f>IF(AND(C267&gt;0,C267&gt;B267*1.1),"OVER","ok")</f>
        <v>ok</v>
      </c>
      <c r="G267" s="5" t="s">
        <v>1299</v>
      </c>
    </row>
    <row r="268" spans="1:7">
      <c r="A268" s="5" t="s">
        <v>329</v>
      </c>
      <c r="B268" s="6">
        <v>16848.3</v>
      </c>
      <c r="C268" s="6">
        <v>18237.6</v>
      </c>
      <c r="D268" s="6">
        <f>C268-B268</f>
        <v>1389.3</v>
      </c>
      <c r="E268" s="9">
        <f>IF(B268=0,0,(C268-B268)/B268)</f>
        <v>0.08199999999999999</v>
      </c>
      <c r="F268" s="5" t="str">
        <f>IF(AND(C268&gt;0,C268&gt;B268*1.1),"OVER","ok")</f>
        <v>ok</v>
      </c>
      <c r="G268" s="5" t="s">
        <v>1300</v>
      </c>
    </row>
    <row r="269" spans="1:7">
      <c r="A269" s="5" t="s">
        <v>325</v>
      </c>
      <c r="B269" s="6">
        <v>47630.12</v>
      </c>
      <c r="C269" s="6">
        <v>42518.34</v>
      </c>
      <c r="D269" s="6">
        <f>C269-B269</f>
        <v>-5111.78</v>
      </c>
      <c r="E269" s="9">
        <f>IF(B269=0,0,(C269-B269)/B269)</f>
        <v>-0.107</v>
      </c>
      <c r="F269" s="5" t="str">
        <f>IF(AND(C269&gt;0,C269&gt;B269*1.1),"OVER","ok")</f>
        <v>ok</v>
      </c>
      <c r="G269" s="5" t="s">
        <v>1301</v>
      </c>
    </row>
    <row r="270" spans="1:7">
      <c r="A270" s="5" t="s">
        <v>375</v>
      </c>
      <c r="B270" s="6">
        <v>9220.379999999999</v>
      </c>
      <c r="C270" s="6">
        <v>8585.1</v>
      </c>
      <c r="D270" s="6">
        <f>C270-B270</f>
        <v>-635.28</v>
      </c>
      <c r="E270" s="9">
        <f>IF(B270=0,0,(C270-B270)/B270)</f>
        <v>-0.069</v>
      </c>
      <c r="F270" s="5" t="str">
        <f>IF(AND(C270&gt;0,C270&gt;B270*1.1),"OVER","ok")</f>
        <v>ok</v>
      </c>
      <c r="G270" s="5" t="s">
        <v>1302</v>
      </c>
    </row>
    <row r="271" spans="1:7">
      <c r="A271" s="5" t="s">
        <v>356</v>
      </c>
      <c r="B271" s="6">
        <v>8363.450000000001</v>
      </c>
      <c r="C271" s="6">
        <v>8216.82</v>
      </c>
      <c r="D271" s="6">
        <f>C271-B271</f>
        <v>-146.63</v>
      </c>
      <c r="E271" s="9">
        <f>IF(B271=0,0,(C271-B271)/B271)</f>
        <v>-0.018000000000000002</v>
      </c>
      <c r="F271" s="5" t="str">
        <f>IF(AND(C271&gt;0,C271&gt;B271*1.1),"OVER","ok")</f>
        <v>ok</v>
      </c>
      <c r="G271" s="5" t="s">
        <v>1159</v>
      </c>
    </row>
    <row r="272" spans="1:7">
      <c r="A272" s="10" t="s">
        <v>1160</v>
      </c>
      <c r="B272" s="13">
        <f>SUM(B267:B271)</f>
        <v>91997.96</v>
      </c>
      <c r="C272" s="13">
        <f>SUM(C267:C271)</f>
        <v>88357.68</v>
      </c>
      <c r="D272" s="13">
        <f>C272-B272</f>
        <v>-3640.28</v>
      </c>
      <c r="E272" s="9">
        <f>(C272-B272)/B272</f>
        <v>-0.04</v>
      </c>
      <c r="F272" s="5" t="str">
        <f>IF(AND(C272&gt;0,C272&gt;B272*1.1),"OVER","ok")</f>
        <v>ok</v>
      </c>
    </row>
    <row r="274" spans="1:7">
      <c r="A274" s="10" t="s">
        <v>1303</v>
      </c>
    </row>
    <row r="275" spans="1:7">
      <c r="A275" s="4" t="s">
        <v>321</v>
      </c>
      <c r="B275" s="4" t="s">
        <v>1149</v>
      </c>
      <c r="C275" s="4" t="s">
        <v>1150</v>
      </c>
      <c r="D275" s="4" t="s">
        <v>1151</v>
      </c>
      <c r="E275" s="4" t="s">
        <v>1152</v>
      </c>
      <c r="F275" s="4" t="s">
        <v>1153</v>
      </c>
      <c r="G275" s="4" t="s">
        <v>1154</v>
      </c>
    </row>
    <row r="276" spans="1:7">
      <c r="A276" s="5" t="s">
        <v>340</v>
      </c>
      <c r="B276" s="6">
        <v>15307.84</v>
      </c>
      <c r="C276" s="6">
        <v>15517.8</v>
      </c>
      <c r="D276" s="6">
        <f>C276-B276</f>
        <v>209.96</v>
      </c>
      <c r="E276" s="9">
        <f>IF(B276=0,0,(C276-B276)/B276)</f>
        <v>0.013999999999999999</v>
      </c>
      <c r="F276" s="5" t="str">
        <f>IF(AND(C276&gt;0,C276&gt;B276*1.1),"OVER","ok")</f>
        <v>ok</v>
      </c>
      <c r="G276" s="5" t="s">
        <v>1304</v>
      </c>
    </row>
    <row r="277" spans="1:7">
      <c r="A277" s="5" t="s">
        <v>329</v>
      </c>
      <c r="B277" s="6">
        <v>33666.32</v>
      </c>
      <c r="C277" s="6">
        <v>28485</v>
      </c>
      <c r="D277" s="6">
        <f>C277-B277</f>
        <v>-5181.32</v>
      </c>
      <c r="E277" s="9">
        <f>IF(B277=0,0,(C277-B277)/B277)</f>
        <v>-0.154</v>
      </c>
      <c r="F277" s="5" t="str">
        <f>IF(AND(C277&gt;0,C277&gt;B277*1.1),"OVER","ok")</f>
        <v>ok</v>
      </c>
      <c r="G277" s="5" t="s">
        <v>1305</v>
      </c>
    </row>
    <row r="278" spans="1:7">
      <c r="A278" s="5" t="s">
        <v>325</v>
      </c>
      <c r="B278" s="6">
        <v>28777.24</v>
      </c>
      <c r="C278" s="6">
        <v>27645.84</v>
      </c>
      <c r="D278" s="6">
        <f>C278-B278</f>
        <v>-1131.4</v>
      </c>
      <c r="E278" s="9">
        <f>IF(B278=0,0,(C278-B278)/B278)</f>
        <v>-0.039</v>
      </c>
      <c r="F278" s="5" t="str">
        <f>IF(AND(C278&gt;0,C278&gt;B278*1.1),"OVER","ok")</f>
        <v>ok</v>
      </c>
      <c r="G278" s="5" t="s">
        <v>1306</v>
      </c>
    </row>
    <row r="279" spans="1:7">
      <c r="A279" s="5" t="s">
        <v>375</v>
      </c>
      <c r="B279" s="6">
        <v>6491.29</v>
      </c>
      <c r="C279" s="6">
        <v>8478.540000000001</v>
      </c>
      <c r="D279" s="6">
        <f>C279-B279</f>
        <v>1987.25</v>
      </c>
      <c r="E279" s="9">
        <f>IF(B279=0,0,(C279-B279)/B279)</f>
        <v>0.306</v>
      </c>
      <c r="F279" s="5" t="str">
        <f>IF(AND(C279&gt;0,C279&gt;B279*1.1),"OVER","ok")</f>
        <v>OVER</v>
      </c>
      <c r="G279" s="5" t="s">
        <v>1307</v>
      </c>
    </row>
    <row r="280" spans="1:7">
      <c r="A280" s="5" t="s">
        <v>356</v>
      </c>
      <c r="B280" s="6">
        <v>8424.27</v>
      </c>
      <c r="C280" s="6">
        <v>8265.6</v>
      </c>
      <c r="D280" s="6">
        <f>C280-B280</f>
        <v>-158.67</v>
      </c>
      <c r="E280" s="9">
        <f>IF(B280=0,0,(C280-B280)/B280)</f>
        <v>-0.019</v>
      </c>
      <c r="F280" s="5" t="str">
        <f>IF(AND(C280&gt;0,C280&gt;B280*1.1),"OVER","ok")</f>
        <v>ok</v>
      </c>
      <c r="G280" s="5" t="s">
        <v>1159</v>
      </c>
    </row>
    <row r="281" spans="1:7">
      <c r="A281" s="10" t="s">
        <v>1160</v>
      </c>
      <c r="B281" s="13">
        <f>SUM(B276:B280)</f>
        <v>92666.96</v>
      </c>
      <c r="C281" s="13">
        <f>SUM(C276:C280)</f>
        <v>88392.78</v>
      </c>
      <c r="D281" s="13">
        <f>C281-B281</f>
        <v>-4274.18</v>
      </c>
      <c r="E281" s="9">
        <f>(C281-B281)/B281</f>
        <v>-0.046</v>
      </c>
      <c r="F281" s="5" t="str">
        <f>IF(AND(C281&gt;0,C281&gt;B281*1.1),"OVER","ok")</f>
        <v>ok</v>
      </c>
    </row>
    <row r="283" spans="1:7">
      <c r="A283" s="10" t="s">
        <v>1308</v>
      </c>
    </row>
    <row r="284" spans="1:7">
      <c r="A284" s="4" t="s">
        <v>321</v>
      </c>
      <c r="B284" s="4" t="s">
        <v>1149</v>
      </c>
      <c r="C284" s="4" t="s">
        <v>1150</v>
      </c>
      <c r="D284" s="4" t="s">
        <v>1151</v>
      </c>
      <c r="E284" s="4" t="s">
        <v>1152</v>
      </c>
      <c r="F284" s="4" t="s">
        <v>1153</v>
      </c>
      <c r="G284" s="4" t="s">
        <v>1154</v>
      </c>
    </row>
    <row r="285" spans="1:7">
      <c r="A285" s="5" t="s">
        <v>340</v>
      </c>
      <c r="B285" s="6">
        <v>7135.57</v>
      </c>
      <c r="C285" s="6">
        <v>9811.26</v>
      </c>
      <c r="D285" s="6">
        <f>C285-B285</f>
        <v>2675.69</v>
      </c>
      <c r="E285" s="9">
        <f>IF(B285=0,0,(C285-B285)/B285)</f>
        <v>0.375</v>
      </c>
      <c r="F285" s="5" t="str">
        <f>IF(AND(C285&gt;0,C285&gt;B285*1.1),"OVER","ok")</f>
        <v>OVER</v>
      </c>
      <c r="G285" s="5" t="s">
        <v>1309</v>
      </c>
    </row>
    <row r="286" spans="1:7">
      <c r="A286" s="5" t="s">
        <v>329</v>
      </c>
      <c r="B286" s="6">
        <v>21091.78</v>
      </c>
      <c r="C286" s="6">
        <v>20348.12</v>
      </c>
      <c r="D286" s="6">
        <f>C286-B286</f>
        <v>-743.66</v>
      </c>
      <c r="E286" s="9">
        <f>IF(B286=0,0,(C286-B286)/B286)</f>
        <v>-0.035</v>
      </c>
      <c r="F286" s="5" t="str">
        <f>IF(AND(C286&gt;0,C286&gt;B286*1.1),"OVER","ok")</f>
        <v>ok</v>
      </c>
      <c r="G286" s="5" t="s">
        <v>1310</v>
      </c>
    </row>
    <row r="287" spans="1:7">
      <c r="A287" s="5" t="s">
        <v>325</v>
      </c>
      <c r="B287" s="6">
        <v>20070.23</v>
      </c>
      <c r="C287" s="6">
        <v>19182.42</v>
      </c>
      <c r="D287" s="6">
        <f>C287-B287</f>
        <v>-887.81</v>
      </c>
      <c r="E287" s="9">
        <f>IF(B287=0,0,(C287-B287)/B287)</f>
        <v>-0.044000000000000004</v>
      </c>
      <c r="F287" s="5" t="str">
        <f>IF(AND(C287&gt;0,C287&gt;B287*1.1),"OVER","ok")</f>
        <v>ok</v>
      </c>
      <c r="G287" s="5" t="s">
        <v>1311</v>
      </c>
    </row>
    <row r="288" spans="1:7">
      <c r="A288" s="5" t="s">
        <v>375</v>
      </c>
      <c r="B288" s="6">
        <v>6714.42</v>
      </c>
      <c r="C288" s="6">
        <v>7648.92</v>
      </c>
      <c r="D288" s="6">
        <f>C288-B288</f>
        <v>934.5</v>
      </c>
      <c r="E288" s="9">
        <f>IF(B288=0,0,(C288-B288)/B288)</f>
        <v>0.139</v>
      </c>
      <c r="F288" s="5" t="str">
        <f>IF(AND(C288&gt;0,C288&gt;B288*1.1),"OVER","ok")</f>
        <v>OVER</v>
      </c>
      <c r="G288" s="5" t="s">
        <v>1312</v>
      </c>
    </row>
    <row r="289" spans="1:7">
      <c r="A289" s="5" t="s">
        <v>356</v>
      </c>
      <c r="B289" s="6">
        <v>5501.2</v>
      </c>
      <c r="C289" s="6">
        <v>0</v>
      </c>
      <c r="D289" s="6">
        <f>C289-B289</f>
        <v>-5501.2</v>
      </c>
      <c r="E289" s="9">
        <f>IF(B289=0,0,(C289-B289)/B289)</f>
        <v>-1.0</v>
      </c>
      <c r="F289" s="5" t="str">
        <f>IF(AND(C289&gt;0,C289&gt;B289*1.1),"OVER","ok")</f>
        <v>ok</v>
      </c>
      <c r="G289" s="5" t="s">
        <v>1159</v>
      </c>
    </row>
    <row r="290" spans="1:7">
      <c r="A290" s="10" t="s">
        <v>1160</v>
      </c>
      <c r="B290" s="13">
        <f>SUM(B285:B289)</f>
        <v>60513.2</v>
      </c>
      <c r="C290" s="13">
        <f>SUM(C285:C289)</f>
        <v>56990.72</v>
      </c>
      <c r="D290" s="13">
        <f>C290-B290</f>
        <v>-3522.48</v>
      </c>
      <c r="E290" s="9">
        <f>(C290-B290)/B290</f>
        <v>-0.057999999999999996</v>
      </c>
      <c r="F290" s="5" t="str">
        <f>IF(AND(C290&gt;0,C290&gt;B290*1.1),"OVER","ok")</f>
        <v>ok</v>
      </c>
    </row>
    <row r="292" spans="1:7">
      <c r="A292" s="10" t="s">
        <v>1313</v>
      </c>
    </row>
    <row r="293" spans="1:7">
      <c r="A293" s="4" t="s">
        <v>321</v>
      </c>
      <c r="B293" s="4" t="s">
        <v>1149</v>
      </c>
      <c r="C293" s="4" t="s">
        <v>1150</v>
      </c>
      <c r="D293" s="4" t="s">
        <v>1151</v>
      </c>
      <c r="E293" s="4" t="s">
        <v>1152</v>
      </c>
      <c r="F293" s="4" t="s">
        <v>1153</v>
      </c>
      <c r="G293" s="4" t="s">
        <v>1154</v>
      </c>
    </row>
    <row r="294" spans="1:7">
      <c r="A294" s="5" t="s">
        <v>340</v>
      </c>
      <c r="B294" s="6">
        <v>15407.87</v>
      </c>
      <c r="C294" s="6">
        <v>17208.54</v>
      </c>
      <c r="D294" s="6">
        <f>C294-B294</f>
        <v>1800.67</v>
      </c>
      <c r="E294" s="9">
        <f>IF(B294=0,0,(C294-B294)/B294)</f>
        <v>0.11699999999999999</v>
      </c>
      <c r="F294" s="5" t="str">
        <f>IF(AND(C294&gt;0,C294&gt;B294*1.1),"OVER","ok")</f>
        <v>OVER</v>
      </c>
      <c r="G294" s="5" t="s">
        <v>1314</v>
      </c>
    </row>
    <row r="295" spans="1:7">
      <c r="A295" s="5" t="s">
        <v>329</v>
      </c>
      <c r="B295" s="6">
        <v>19721.05</v>
      </c>
      <c r="C295" s="6">
        <v>18846</v>
      </c>
      <c r="D295" s="6">
        <f>C295-B295</f>
        <v>-875.05</v>
      </c>
      <c r="E295" s="9">
        <f>IF(B295=0,0,(C295-B295)/B295)</f>
        <v>-0.044000000000000004</v>
      </c>
      <c r="F295" s="5" t="str">
        <f>IF(AND(C295&gt;0,C295&gt;B295*1.1),"OVER","ok")</f>
        <v>ok</v>
      </c>
      <c r="G295" s="5" t="s">
        <v>1315</v>
      </c>
    </row>
    <row r="296" spans="1:7">
      <c r="A296" s="5" t="s">
        <v>325</v>
      </c>
      <c r="B296" s="6">
        <v>19358.39</v>
      </c>
      <c r="C296" s="6">
        <v>17657.82</v>
      </c>
      <c r="D296" s="6">
        <f>C296-B296</f>
        <v>-1700.57</v>
      </c>
      <c r="E296" s="9">
        <f>IF(B296=0,0,(C296-B296)/B296)</f>
        <v>-0.08800000000000001</v>
      </c>
      <c r="F296" s="5" t="str">
        <f>IF(AND(C296&gt;0,C296&gt;B296*1.1),"OVER","ok")</f>
        <v>ok</v>
      </c>
      <c r="G296" s="5" t="s">
        <v>1316</v>
      </c>
    </row>
    <row r="297" spans="1:7">
      <c r="A297" s="5" t="s">
        <v>375</v>
      </c>
      <c r="B297" s="6">
        <v>5784.1</v>
      </c>
      <c r="C297" s="6">
        <v>8021.16</v>
      </c>
      <c r="D297" s="6">
        <f>C297-B297</f>
        <v>2237.06</v>
      </c>
      <c r="E297" s="9">
        <f>IF(B297=0,0,(C297-B297)/B297)</f>
        <v>0.387</v>
      </c>
      <c r="F297" s="5" t="str">
        <f>IF(AND(C297&gt;0,C297&gt;B297*1.1),"OVER","ok")</f>
        <v>OVER</v>
      </c>
      <c r="G297" s="5" t="s">
        <v>1317</v>
      </c>
    </row>
    <row r="298" spans="1:7">
      <c r="A298" s="5" t="s">
        <v>356</v>
      </c>
      <c r="B298" s="6">
        <v>6027.14</v>
      </c>
      <c r="C298" s="6">
        <v>0</v>
      </c>
      <c r="D298" s="6">
        <f>C298-B298</f>
        <v>-6027.14</v>
      </c>
      <c r="E298" s="9">
        <f>IF(B298=0,0,(C298-B298)/B298)</f>
        <v>-1.0</v>
      </c>
      <c r="F298" s="5" t="str">
        <f>IF(AND(C298&gt;0,C298&gt;B298*1.1),"OVER","ok")</f>
        <v>ok</v>
      </c>
      <c r="G298" s="5" t="s">
        <v>1159</v>
      </c>
    </row>
    <row r="299" spans="1:7">
      <c r="A299" s="10" t="s">
        <v>1160</v>
      </c>
      <c r="B299" s="13">
        <f>SUM(B294:B298)</f>
        <v>66298.55</v>
      </c>
      <c r="C299" s="13">
        <f>SUM(C294:C298)</f>
        <v>61733.52</v>
      </c>
      <c r="D299" s="13">
        <f>C299-B299</f>
        <v>-4565.03</v>
      </c>
      <c r="E299" s="9">
        <f>(C299-B299)/B299</f>
        <v>-0.069</v>
      </c>
      <c r="F299" s="5" t="str">
        <f>IF(AND(C299&gt;0,C299&gt;B299*1.1),"OVER","ok")</f>
        <v>ok</v>
      </c>
    </row>
    <row r="301" spans="1:7">
      <c r="A301" s="10" t="s">
        <v>1318</v>
      </c>
    </row>
    <row r="302" spans="1:7">
      <c r="A302" s="4" t="s">
        <v>321</v>
      </c>
      <c r="B302" s="4" t="s">
        <v>1149</v>
      </c>
      <c r="C302" s="4" t="s">
        <v>1150</v>
      </c>
      <c r="D302" s="4" t="s">
        <v>1151</v>
      </c>
      <c r="E302" s="4" t="s">
        <v>1152</v>
      </c>
      <c r="F302" s="4" t="s">
        <v>1153</v>
      </c>
      <c r="G302" s="4" t="s">
        <v>1154</v>
      </c>
    </row>
    <row r="303" spans="1:7">
      <c r="A303" s="5" t="s">
        <v>340</v>
      </c>
      <c r="B303" s="6">
        <v>11581.63</v>
      </c>
      <c r="C303" s="6">
        <v>11395.98</v>
      </c>
      <c r="D303" s="6">
        <f>C303-B303</f>
        <v>-185.65</v>
      </c>
      <c r="E303" s="9">
        <f>IF(B303=0,0,(C303-B303)/B303)</f>
        <v>-0.016</v>
      </c>
      <c r="F303" s="5" t="str">
        <f>IF(AND(C303&gt;0,C303&gt;B303*1.1),"OVER","ok")</f>
        <v>ok</v>
      </c>
      <c r="G303" s="5" t="s">
        <v>1319</v>
      </c>
    </row>
    <row r="304" spans="1:7">
      <c r="A304" s="5" t="s">
        <v>329</v>
      </c>
      <c r="B304" s="6">
        <v>15241.81</v>
      </c>
      <c r="C304" s="6">
        <v>15704.46</v>
      </c>
      <c r="D304" s="6">
        <f>C304-B304</f>
        <v>462.65</v>
      </c>
      <c r="E304" s="9">
        <f>IF(B304=0,0,(C304-B304)/B304)</f>
        <v>0.03</v>
      </c>
      <c r="F304" s="5" t="str">
        <f>IF(AND(C304&gt;0,C304&gt;B304*1.1),"OVER","ok")</f>
        <v>ok</v>
      </c>
      <c r="G304" s="5" t="s">
        <v>1320</v>
      </c>
    </row>
    <row r="305" spans="1:7">
      <c r="A305" s="5" t="s">
        <v>325</v>
      </c>
      <c r="B305" s="6">
        <v>40776.97</v>
      </c>
      <c r="C305" s="6">
        <v>40865.76</v>
      </c>
      <c r="D305" s="6">
        <f>C305-B305</f>
        <v>88.79</v>
      </c>
      <c r="E305" s="9">
        <f>IF(B305=0,0,(C305-B305)/B305)</f>
        <v>0.002</v>
      </c>
      <c r="F305" s="5" t="str">
        <f>IF(AND(C305&gt;0,C305&gt;B305*1.1),"OVER","ok")</f>
        <v>ok</v>
      </c>
      <c r="G305" s="5" t="s">
        <v>1321</v>
      </c>
    </row>
    <row r="306" spans="1:7">
      <c r="A306" s="5" t="s">
        <v>375</v>
      </c>
      <c r="B306" s="6">
        <v>8543.309999999999</v>
      </c>
      <c r="C306" s="6">
        <v>9342.18</v>
      </c>
      <c r="D306" s="6">
        <f>C306-B306</f>
        <v>798.87</v>
      </c>
      <c r="E306" s="9">
        <f>IF(B306=0,0,(C306-B306)/B306)</f>
        <v>0.094</v>
      </c>
      <c r="F306" s="5" t="str">
        <f>IF(AND(C306&gt;0,C306&gt;B306*1.1),"OVER","ok")</f>
        <v>ok</v>
      </c>
      <c r="G306" s="5" t="s">
        <v>1322</v>
      </c>
    </row>
    <row r="307" spans="1:7">
      <c r="A307" s="5" t="s">
        <v>356</v>
      </c>
      <c r="B307" s="6">
        <v>7614.37</v>
      </c>
      <c r="C307" s="6">
        <v>0</v>
      </c>
      <c r="D307" s="6">
        <f>C307-B307</f>
        <v>-7614.37</v>
      </c>
      <c r="E307" s="9">
        <f>IF(B307=0,0,(C307-B307)/B307)</f>
        <v>-1.0</v>
      </c>
      <c r="F307" s="5" t="str">
        <f>IF(AND(C307&gt;0,C307&gt;B307*1.1),"OVER","ok")</f>
        <v>ok</v>
      </c>
      <c r="G307" s="5" t="s">
        <v>1159</v>
      </c>
    </row>
    <row r="308" spans="1:7">
      <c r="A308" s="10" t="s">
        <v>1160</v>
      </c>
      <c r="B308" s="13">
        <f>SUM(B303:B307)</f>
        <v>83758.09</v>
      </c>
      <c r="C308" s="13">
        <f>SUM(C303:C307)</f>
        <v>77308.38</v>
      </c>
      <c r="D308" s="13">
        <f>C308-B308</f>
        <v>-6449.71</v>
      </c>
      <c r="E308" s="9">
        <f>(C308-B308)/B308</f>
        <v>-0.077</v>
      </c>
      <c r="F308" s="5" t="str">
        <f>IF(AND(C308&gt;0,C308&gt;B308*1.1),"OVER","ok")</f>
        <v>ok</v>
      </c>
    </row>
    <row r="310" spans="1:7">
      <c r="A310" s="10" t="s">
        <v>1323</v>
      </c>
    </row>
    <row r="311" spans="1:7">
      <c r="A311" s="4" t="s">
        <v>321</v>
      </c>
      <c r="B311" s="4" t="s">
        <v>1149</v>
      </c>
      <c r="C311" s="4" t="s">
        <v>1150</v>
      </c>
      <c r="D311" s="4" t="s">
        <v>1151</v>
      </c>
      <c r="E311" s="4" t="s">
        <v>1152</v>
      </c>
      <c r="F311" s="4" t="s">
        <v>1153</v>
      </c>
      <c r="G311" s="4" t="s">
        <v>1154</v>
      </c>
    </row>
    <row r="312" spans="1:7">
      <c r="A312" s="5" t="s">
        <v>340</v>
      </c>
      <c r="B312" s="6">
        <v>10592.69</v>
      </c>
      <c r="C312" s="6">
        <v>10053.72</v>
      </c>
      <c r="D312" s="6">
        <f>C312-B312</f>
        <v>-538.97</v>
      </c>
      <c r="E312" s="9">
        <f>IF(B312=0,0,(C312-B312)/B312)</f>
        <v>-0.051</v>
      </c>
      <c r="F312" s="5" t="str">
        <f>IF(AND(C312&gt;0,C312&gt;B312*1.1),"OVER","ok")</f>
        <v>ok</v>
      </c>
      <c r="G312" s="5" t="s">
        <v>1324</v>
      </c>
    </row>
    <row r="313" spans="1:7">
      <c r="A313" s="5" t="s">
        <v>329</v>
      </c>
      <c r="B313" s="6">
        <v>21612.82</v>
      </c>
      <c r="C313" s="6">
        <v>21942.9</v>
      </c>
      <c r="D313" s="6">
        <f>C313-B313</f>
        <v>330.08</v>
      </c>
      <c r="E313" s="9">
        <f>IF(B313=0,0,(C313-B313)/B313)</f>
        <v>0.015</v>
      </c>
      <c r="F313" s="5" t="str">
        <f>IF(AND(C313&gt;0,C313&gt;B313*1.1),"OVER","ok")</f>
        <v>ok</v>
      </c>
      <c r="G313" s="5" t="s">
        <v>1325</v>
      </c>
    </row>
    <row r="314" spans="1:7">
      <c r="A314" s="5" t="s">
        <v>325</v>
      </c>
      <c r="B314" s="6">
        <v>33018.45</v>
      </c>
      <c r="C314" s="6">
        <v>32511.96</v>
      </c>
      <c r="D314" s="6">
        <f>C314-B314</f>
        <v>-506.49</v>
      </c>
      <c r="E314" s="9">
        <f>IF(B314=0,0,(C314-B314)/B314)</f>
        <v>-0.015</v>
      </c>
      <c r="F314" s="5" t="str">
        <f>IF(AND(C314&gt;0,C314&gt;B314*1.1),"OVER","ok")</f>
        <v>ok</v>
      </c>
      <c r="G314" s="5" t="s">
        <v>1326</v>
      </c>
    </row>
    <row r="315" spans="1:7">
      <c r="A315" s="5" t="s">
        <v>375</v>
      </c>
      <c r="B315" s="6">
        <v>6258.57</v>
      </c>
      <c r="C315" s="6">
        <v>7495.74</v>
      </c>
      <c r="D315" s="6">
        <f>C315-B315</f>
        <v>1237.17</v>
      </c>
      <c r="E315" s="9">
        <f>IF(B315=0,0,(C315-B315)/B315)</f>
        <v>0.198</v>
      </c>
      <c r="F315" s="5" t="str">
        <f>IF(AND(C315&gt;0,C315&gt;B315*1.1),"OVER","ok")</f>
        <v>OVER</v>
      </c>
      <c r="G315" s="5" t="s">
        <v>1327</v>
      </c>
    </row>
    <row r="316" spans="1:7">
      <c r="A316" s="5" t="s">
        <v>356</v>
      </c>
      <c r="B316" s="6">
        <v>7148.25</v>
      </c>
      <c r="C316" s="6">
        <v>0</v>
      </c>
      <c r="D316" s="6">
        <f>C316-B316</f>
        <v>-7148.25</v>
      </c>
      <c r="E316" s="9">
        <f>IF(B316=0,0,(C316-B316)/B316)</f>
        <v>-1.0</v>
      </c>
      <c r="F316" s="5" t="str">
        <f>IF(AND(C316&gt;0,C316&gt;B316*1.1),"OVER","ok")</f>
        <v>ok</v>
      </c>
      <c r="G316" s="5" t="s">
        <v>1159</v>
      </c>
    </row>
    <row r="317" spans="1:7">
      <c r="A317" s="10" t="s">
        <v>1160</v>
      </c>
      <c r="B317" s="13">
        <f>SUM(B312:B316)</f>
        <v>78630.78</v>
      </c>
      <c r="C317" s="13">
        <f>SUM(C312:C316)</f>
        <v>72004.32</v>
      </c>
      <c r="D317" s="13">
        <f>C317-B317</f>
        <v>-6626.46</v>
      </c>
      <c r="E317" s="9">
        <f>(C317-B317)/B317</f>
        <v>-0.084</v>
      </c>
      <c r="F317" s="5" t="str">
        <f>IF(AND(C317&gt;0,C317&gt;B317*1.1),"OVER","ok")</f>
        <v>ok</v>
      </c>
    </row>
    <row r="319" spans="1:7">
      <c r="A319" s="10" t="s">
        <v>1328</v>
      </c>
    </row>
    <row r="320" spans="1:7">
      <c r="A320" s="4" t="s">
        <v>321</v>
      </c>
      <c r="B320" s="4" t="s">
        <v>1149</v>
      </c>
      <c r="C320" s="4" t="s">
        <v>1150</v>
      </c>
      <c r="D320" s="4" t="s">
        <v>1151</v>
      </c>
      <c r="E320" s="4" t="s">
        <v>1152</v>
      </c>
      <c r="F320" s="4" t="s">
        <v>1153</v>
      </c>
      <c r="G320" s="4" t="s">
        <v>1154</v>
      </c>
    </row>
    <row r="321" spans="1:7">
      <c r="A321" s="5" t="s">
        <v>340</v>
      </c>
      <c r="B321" s="6">
        <v>11416.72</v>
      </c>
      <c r="C321" s="6">
        <v>11456.1</v>
      </c>
      <c r="D321" s="6">
        <f>C321-B321</f>
        <v>39.38</v>
      </c>
      <c r="E321" s="9">
        <f>IF(B321=0,0,(C321-B321)/B321)</f>
        <v>0.003</v>
      </c>
      <c r="F321" s="5" t="str">
        <f>IF(AND(C321&gt;0,C321&gt;B321*1.1),"OVER","ok")</f>
        <v>ok</v>
      </c>
      <c r="G321" s="5" t="s">
        <v>1329</v>
      </c>
    </row>
    <row r="322" spans="1:7">
      <c r="A322" s="5" t="s">
        <v>329</v>
      </c>
      <c r="B322" s="6">
        <v>27407.51</v>
      </c>
      <c r="C322" s="6">
        <v>26276.04</v>
      </c>
      <c r="D322" s="6">
        <f>C322-B322</f>
        <v>-1131.47</v>
      </c>
      <c r="E322" s="9">
        <f>IF(B322=0,0,(C322-B322)/B322)</f>
        <v>-0.040999999999999995</v>
      </c>
      <c r="F322" s="5" t="str">
        <f>IF(AND(C322&gt;0,C322&gt;B322*1.1),"OVER","ok")</f>
        <v>ok</v>
      </c>
      <c r="G322" s="5" t="s">
        <v>1330</v>
      </c>
    </row>
    <row r="323" spans="1:7">
      <c r="A323" s="5" t="s">
        <v>325</v>
      </c>
      <c r="B323" s="6">
        <v>32426.48</v>
      </c>
      <c r="C323" s="6">
        <v>33120.54</v>
      </c>
      <c r="D323" s="6">
        <f>C323-B323</f>
        <v>694.06</v>
      </c>
      <c r="E323" s="9">
        <f>IF(B323=0,0,(C323-B323)/B323)</f>
        <v>0.021</v>
      </c>
      <c r="F323" s="5" t="str">
        <f>IF(AND(C323&gt;0,C323&gt;B323*1.1),"OVER","ok")</f>
        <v>ok</v>
      </c>
      <c r="G323" s="5" t="s">
        <v>1331</v>
      </c>
    </row>
    <row r="324" spans="1:7">
      <c r="A324" s="5" t="s">
        <v>375</v>
      </c>
      <c r="B324" s="6">
        <v>7064.92</v>
      </c>
      <c r="C324" s="6">
        <v>7394.4</v>
      </c>
      <c r="D324" s="6">
        <f>C324-B324</f>
        <v>329.48</v>
      </c>
      <c r="E324" s="9">
        <f>IF(B324=0,0,(C324-B324)/B324)</f>
        <v>0.047</v>
      </c>
      <c r="F324" s="5" t="str">
        <f>IF(AND(C324&gt;0,C324&gt;B324*1.1),"OVER","ok")</f>
        <v>ok</v>
      </c>
      <c r="G324" s="5" t="s">
        <v>1332</v>
      </c>
    </row>
    <row r="325" spans="1:7">
      <c r="A325" s="5" t="s">
        <v>356</v>
      </c>
      <c r="B325" s="6">
        <v>7831.56</v>
      </c>
      <c r="C325" s="6">
        <v>0</v>
      </c>
      <c r="D325" s="6">
        <f>C325-B325</f>
        <v>-7831.56</v>
      </c>
      <c r="E325" s="9">
        <f>IF(B325=0,0,(C325-B325)/B325)</f>
        <v>-1.0</v>
      </c>
      <c r="F325" s="5" t="str">
        <f>IF(AND(C325&gt;0,C325&gt;B325*1.1),"OVER","ok")</f>
        <v>ok</v>
      </c>
      <c r="G325" s="5" t="s">
        <v>1159</v>
      </c>
    </row>
    <row r="326" spans="1:7">
      <c r="A326" s="10" t="s">
        <v>1160</v>
      </c>
      <c r="B326" s="13">
        <f>SUM(B321:B325)</f>
        <v>86147.19</v>
      </c>
      <c r="C326" s="13">
        <f>SUM(C321:C325)</f>
        <v>78247.08</v>
      </c>
      <c r="D326" s="13">
        <f>C326-B326</f>
        <v>-7900.11</v>
      </c>
      <c r="E326" s="9">
        <f>(C326-B326)/B326</f>
        <v>-0.092</v>
      </c>
      <c r="F326" s="5" t="str">
        <f>IF(AND(C326&gt;0,C326&gt;B326*1.1),"OVER","ok")</f>
        <v>ok</v>
      </c>
    </row>
    <row r="328" spans="1:7">
      <c r="A328" s="10" t="s">
        <v>1333</v>
      </c>
    </row>
    <row r="329" spans="1:7">
      <c r="A329" s="4" t="s">
        <v>321</v>
      </c>
      <c r="B329" s="4" t="s">
        <v>1149</v>
      </c>
      <c r="C329" s="4" t="s">
        <v>1150</v>
      </c>
      <c r="D329" s="4" t="s">
        <v>1151</v>
      </c>
      <c r="E329" s="4" t="s">
        <v>1152</v>
      </c>
      <c r="F329" s="4" t="s">
        <v>1153</v>
      </c>
      <c r="G329" s="4" t="s">
        <v>1154</v>
      </c>
    </row>
    <row r="330" spans="1:7">
      <c r="A330" s="5" t="s">
        <v>340</v>
      </c>
      <c r="B330" s="6">
        <v>13936.6</v>
      </c>
      <c r="C330" s="6">
        <v>14701.32</v>
      </c>
      <c r="D330" s="6">
        <f>C330-B330</f>
        <v>764.72</v>
      </c>
      <c r="E330" s="9">
        <f>IF(B330=0,0,(C330-B330)/B330)</f>
        <v>0.055</v>
      </c>
      <c r="F330" s="5" t="str">
        <f>IF(AND(C330&gt;0,C330&gt;B330*1.1),"OVER","ok")</f>
        <v>ok</v>
      </c>
      <c r="G330" s="5" t="s">
        <v>1334</v>
      </c>
    </row>
    <row r="331" spans="1:7">
      <c r="A331" s="5" t="s">
        <v>329</v>
      </c>
      <c r="B331" s="6">
        <v>37105.94</v>
      </c>
      <c r="C331" s="6">
        <v>38465.1</v>
      </c>
      <c r="D331" s="6">
        <f>C331-B331</f>
        <v>1359.16</v>
      </c>
      <c r="E331" s="9">
        <f>IF(B331=0,0,(C331-B331)/B331)</f>
        <v>0.037000000000000005</v>
      </c>
      <c r="F331" s="5" t="str">
        <f>IF(AND(C331&gt;0,C331&gt;B331*1.1),"OVER","ok")</f>
        <v>ok</v>
      </c>
      <c r="G331" s="5" t="s">
        <v>1335</v>
      </c>
    </row>
    <row r="332" spans="1:7">
      <c r="A332" s="5" t="s">
        <v>325</v>
      </c>
      <c r="B332" s="6">
        <v>39707.32</v>
      </c>
      <c r="C332" s="6">
        <v>34812.36</v>
      </c>
      <c r="D332" s="6">
        <f>C332-B332</f>
        <v>-4894.96</v>
      </c>
      <c r="E332" s="9">
        <f>IF(B332=0,0,(C332-B332)/B332)</f>
        <v>-0.12300000000000001</v>
      </c>
      <c r="F332" s="5" t="str">
        <f>IF(AND(C332&gt;0,C332&gt;B332*1.1),"OVER","ok")</f>
        <v>ok</v>
      </c>
      <c r="G332" s="5" t="s">
        <v>1336</v>
      </c>
    </row>
    <row r="333" spans="1:7">
      <c r="A333" s="5" t="s">
        <v>375</v>
      </c>
      <c r="B333" s="6">
        <v>6599.1</v>
      </c>
      <c r="C333" s="6">
        <v>8536.68</v>
      </c>
      <c r="D333" s="6">
        <f>C333-B333</f>
        <v>1937.58</v>
      </c>
      <c r="E333" s="9">
        <f>IF(B333=0,0,(C333-B333)/B333)</f>
        <v>0.294</v>
      </c>
      <c r="F333" s="5" t="str">
        <f>IF(AND(C333&gt;0,C333&gt;B333*1.1),"OVER","ok")</f>
        <v>OVER</v>
      </c>
      <c r="G333" s="5" t="s">
        <v>1337</v>
      </c>
    </row>
    <row r="334" spans="1:7">
      <c r="A334" s="5" t="s">
        <v>356</v>
      </c>
      <c r="B334" s="6">
        <v>9734.9</v>
      </c>
      <c r="C334" s="6">
        <v>0</v>
      </c>
      <c r="D334" s="6">
        <f>C334-B334</f>
        <v>-9734.9</v>
      </c>
      <c r="E334" s="9">
        <f>IF(B334=0,0,(C334-B334)/B334)</f>
        <v>-1.0</v>
      </c>
      <c r="F334" s="5" t="str">
        <f>IF(AND(C334&gt;0,C334&gt;B334*1.1),"OVER","ok")</f>
        <v>ok</v>
      </c>
      <c r="G334" s="5" t="s">
        <v>1159</v>
      </c>
    </row>
    <row r="335" spans="1:7">
      <c r="A335" s="10" t="s">
        <v>1160</v>
      </c>
      <c r="B335" s="13">
        <f>SUM(B330:B334)</f>
        <v>107083.86</v>
      </c>
      <c r="C335" s="13">
        <f>SUM(C330:C334)</f>
        <v>96515.46</v>
      </c>
      <c r="D335" s="13">
        <f>C335-B335</f>
        <v>-10568.4</v>
      </c>
      <c r="E335" s="9">
        <f>(C335-B335)/B335</f>
        <v>-0.099</v>
      </c>
      <c r="F335" s="5" t="str">
        <f>IF(AND(C335&gt;0,C335&gt;B335*1.1),"OVER","ok")</f>
        <v>ok</v>
      </c>
    </row>
    <row r="337" spans="1:7">
      <c r="A337" s="10" t="s">
        <v>1338</v>
      </c>
    </row>
    <row r="338" spans="1:7">
      <c r="A338" s="4" t="s">
        <v>321</v>
      </c>
      <c r="B338" s="4" t="s">
        <v>1149</v>
      </c>
      <c r="C338" s="4" t="s">
        <v>1150</v>
      </c>
      <c r="D338" s="4" t="s">
        <v>1151</v>
      </c>
      <c r="E338" s="4" t="s">
        <v>1152</v>
      </c>
      <c r="F338" s="4" t="s">
        <v>1153</v>
      </c>
      <c r="G338" s="4" t="s">
        <v>1154</v>
      </c>
    </row>
    <row r="339" spans="1:7">
      <c r="A339" s="5" t="s">
        <v>340</v>
      </c>
      <c r="B339" s="6">
        <v>18346.29</v>
      </c>
      <c r="C339" s="6">
        <v>15803.28</v>
      </c>
      <c r="D339" s="6">
        <f>C339-B339</f>
        <v>-2543.01</v>
      </c>
      <c r="E339" s="9">
        <f>IF(B339=0,0,(C339-B339)/B339)</f>
        <v>-0.139</v>
      </c>
      <c r="F339" s="5" t="str">
        <f>IF(AND(C339&gt;0,C339&gt;B339*1.1),"OVER","ok")</f>
        <v>ok</v>
      </c>
      <c r="G339" s="5" t="s">
        <v>1250</v>
      </c>
    </row>
    <row r="340" spans="1:7">
      <c r="A340" s="5" t="s">
        <v>329</v>
      </c>
      <c r="B340" s="6">
        <v>28083.64</v>
      </c>
      <c r="C340" s="6">
        <v>27712.44</v>
      </c>
      <c r="D340" s="6">
        <f>C340-B340</f>
        <v>-371.2</v>
      </c>
      <c r="E340" s="9">
        <f>IF(B340=0,0,(C340-B340)/B340)</f>
        <v>-0.013000000000000001</v>
      </c>
      <c r="F340" s="5" t="str">
        <f>IF(AND(C340&gt;0,C340&gt;B340*1.1),"OVER","ok")</f>
        <v>ok</v>
      </c>
      <c r="G340" s="5" t="s">
        <v>1339</v>
      </c>
    </row>
    <row r="341" spans="1:7">
      <c r="A341" s="5" t="s">
        <v>325</v>
      </c>
      <c r="B341" s="6">
        <v>29027.37</v>
      </c>
      <c r="C341" s="6">
        <v>27687.42</v>
      </c>
      <c r="D341" s="6">
        <f>C341-B341</f>
        <v>-1339.95</v>
      </c>
      <c r="E341" s="9">
        <f>IF(B341=0,0,(C341-B341)/B341)</f>
        <v>-0.046</v>
      </c>
      <c r="F341" s="5" t="str">
        <f>IF(AND(C341&gt;0,C341&gt;B341*1.1),"OVER","ok")</f>
        <v>ok</v>
      </c>
      <c r="G341" s="5" t="s">
        <v>1340</v>
      </c>
    </row>
    <row r="342" spans="1:7">
      <c r="A342" s="5" t="s">
        <v>375</v>
      </c>
      <c r="B342" s="6">
        <v>6969.84</v>
      </c>
      <c r="C342" s="6">
        <v>7833.6</v>
      </c>
      <c r="D342" s="6">
        <f>C342-B342</f>
        <v>863.76</v>
      </c>
      <c r="E342" s="9">
        <f>IF(B342=0,0,(C342-B342)/B342)</f>
        <v>0.124</v>
      </c>
      <c r="F342" s="5" t="str">
        <f>IF(AND(C342&gt;0,C342&gt;B342*1.1),"OVER","ok")</f>
        <v>OVER</v>
      </c>
      <c r="G342" s="5" t="s">
        <v>1341</v>
      </c>
    </row>
    <row r="343" spans="1:7">
      <c r="A343" s="5" t="s">
        <v>356</v>
      </c>
      <c r="B343" s="6">
        <v>8242.709999999999</v>
      </c>
      <c r="C343" s="6">
        <v>0</v>
      </c>
      <c r="D343" s="6">
        <f>C343-B343</f>
        <v>-8242.71</v>
      </c>
      <c r="E343" s="9">
        <f>IF(B343=0,0,(C343-B343)/B343)</f>
        <v>-1.0</v>
      </c>
      <c r="F343" s="5" t="str">
        <f>IF(AND(C343&gt;0,C343&gt;B343*1.1),"OVER","ok")</f>
        <v>ok</v>
      </c>
      <c r="G343" s="5" t="s">
        <v>1159</v>
      </c>
    </row>
    <row r="344" spans="1:7">
      <c r="A344" s="10" t="s">
        <v>1160</v>
      </c>
      <c r="B344" s="13">
        <f>SUM(B339:B343)</f>
        <v>90669.85</v>
      </c>
      <c r="C344" s="13">
        <f>SUM(C339:C343)</f>
        <v>79036.74</v>
      </c>
      <c r="D344" s="13">
        <f>C344-B344</f>
        <v>-11633.11</v>
      </c>
      <c r="E344" s="9">
        <f>(C344-B344)/B344</f>
        <v>-0.128</v>
      </c>
      <c r="F344" s="5" t="str">
        <f>IF(AND(C344&gt;0,C344&gt;B344*1.1),"OVER","ok")</f>
        <v>ok</v>
      </c>
    </row>
    <row r="346" spans="1:7">
      <c r="A346" s="10" t="s">
        <v>1342</v>
      </c>
    </row>
    <row r="347" spans="1:7">
      <c r="A347" s="4" t="s">
        <v>321</v>
      </c>
      <c r="B347" s="4" t="s">
        <v>1149</v>
      </c>
      <c r="C347" s="4" t="s">
        <v>1150</v>
      </c>
      <c r="D347" s="4" t="s">
        <v>1151</v>
      </c>
      <c r="E347" s="4" t="s">
        <v>1152</v>
      </c>
      <c r="F347" s="4" t="s">
        <v>1153</v>
      </c>
      <c r="G347" s="4" t="s">
        <v>1154</v>
      </c>
    </row>
    <row r="348" spans="1:7">
      <c r="A348" s="5" t="s">
        <v>340</v>
      </c>
      <c r="B348" s="6">
        <v>14361.97</v>
      </c>
      <c r="C348" s="6">
        <v>16480.08</v>
      </c>
      <c r="D348" s="6">
        <f>C348-B348</f>
        <v>2118.11</v>
      </c>
      <c r="E348" s="9">
        <f>IF(B348=0,0,(C348-B348)/B348)</f>
        <v>0.147</v>
      </c>
      <c r="F348" s="5" t="str">
        <f>IF(AND(C348&gt;0,C348&gt;B348*1.1),"OVER","ok")</f>
        <v>OVER</v>
      </c>
      <c r="G348" s="5" t="s">
        <v>1343</v>
      </c>
    </row>
    <row r="349" spans="1:7">
      <c r="A349" s="5" t="s">
        <v>329</v>
      </c>
      <c r="B349" s="6">
        <v>26184.1</v>
      </c>
      <c r="C349" s="6">
        <v>21503.34</v>
      </c>
      <c r="D349" s="6">
        <f>C349-B349</f>
        <v>-4680.76</v>
      </c>
      <c r="E349" s="9">
        <f>IF(B349=0,0,(C349-B349)/B349)</f>
        <v>-0.179</v>
      </c>
      <c r="F349" s="5" t="str">
        <f>IF(AND(C349&gt;0,C349&gt;B349*1.1),"OVER","ok")</f>
        <v>ok</v>
      </c>
      <c r="G349" s="5" t="s">
        <v>1344</v>
      </c>
    </row>
    <row r="350" spans="1:7">
      <c r="A350" s="5" t="s">
        <v>325</v>
      </c>
      <c r="B350" s="6">
        <v>48137.75</v>
      </c>
      <c r="C350" s="6">
        <v>45934.38</v>
      </c>
      <c r="D350" s="6">
        <f>C350-B350</f>
        <v>-2203.37</v>
      </c>
      <c r="E350" s="9">
        <f>IF(B350=0,0,(C350-B350)/B350)</f>
        <v>-0.046</v>
      </c>
      <c r="F350" s="5" t="str">
        <f>IF(AND(C350&gt;0,C350&gt;B350*1.1),"OVER","ok")</f>
        <v>ok</v>
      </c>
      <c r="G350" s="5" t="s">
        <v>1345</v>
      </c>
    </row>
    <row r="351" spans="1:7">
      <c r="A351" s="5" t="s">
        <v>375</v>
      </c>
      <c r="B351" s="6">
        <v>7600.03</v>
      </c>
      <c r="C351" s="6">
        <v>8100.9</v>
      </c>
      <c r="D351" s="6">
        <f>C351-B351</f>
        <v>500.87</v>
      </c>
      <c r="E351" s="9">
        <f>IF(B351=0,0,(C351-B351)/B351)</f>
        <v>0.066</v>
      </c>
      <c r="F351" s="5" t="str">
        <f>IF(AND(C351&gt;0,C351&gt;B351*1.1),"OVER","ok")</f>
        <v>ok</v>
      </c>
      <c r="G351" s="5" t="s">
        <v>1346</v>
      </c>
    </row>
    <row r="352" spans="1:7">
      <c r="A352" s="5" t="s">
        <v>356</v>
      </c>
      <c r="B352" s="6">
        <v>9628.389999999999</v>
      </c>
      <c r="C352" s="6">
        <v>0</v>
      </c>
      <c r="D352" s="6">
        <f>C352-B352</f>
        <v>-9628.39</v>
      </c>
      <c r="E352" s="9">
        <f>IF(B352=0,0,(C352-B352)/B352)</f>
        <v>-1.0</v>
      </c>
      <c r="F352" s="5" t="str">
        <f>IF(AND(C352&gt;0,C352&gt;B352*1.1),"OVER","ok")</f>
        <v>ok</v>
      </c>
      <c r="G352" s="5" t="s">
        <v>1159</v>
      </c>
    </row>
    <row r="353" spans="1:7">
      <c r="A353" s="10" t="s">
        <v>1160</v>
      </c>
      <c r="B353" s="13">
        <f>SUM(B348:B352)</f>
        <v>105912.24</v>
      </c>
      <c r="C353" s="13">
        <f>SUM(C348:C352)</f>
        <v>92018.7</v>
      </c>
      <c r="D353" s="13">
        <f>C353-B353</f>
        <v>-13893.54</v>
      </c>
      <c r="E353" s="9">
        <f>(C353-B353)/B353</f>
        <v>-0.131</v>
      </c>
      <c r="F353" s="5" t="str">
        <f>IF(AND(C353&gt;0,C353&gt;B353*1.1),"OVER","ok")</f>
        <v>ok</v>
      </c>
    </row>
    <row r="355" spans="1:7">
      <c r="A355" s="10" t="s">
        <v>1347</v>
      </c>
    </row>
    <row r="356" spans="1:7">
      <c r="A356" s="4" t="s">
        <v>321</v>
      </c>
      <c r="B356" s="4" t="s">
        <v>1149</v>
      </c>
      <c r="C356" s="4" t="s">
        <v>1150</v>
      </c>
      <c r="D356" s="4" t="s">
        <v>1151</v>
      </c>
      <c r="E356" s="4" t="s">
        <v>1152</v>
      </c>
      <c r="F356" s="4" t="s">
        <v>1153</v>
      </c>
      <c r="G356" s="4" t="s">
        <v>1154</v>
      </c>
    </row>
    <row r="357" spans="1:7">
      <c r="A357" s="5" t="s">
        <v>340</v>
      </c>
      <c r="B357" s="6">
        <v>10391.04</v>
      </c>
      <c r="C357" s="6">
        <v>10707.66</v>
      </c>
      <c r="D357" s="6">
        <f>C357-B357</f>
        <v>316.62</v>
      </c>
      <c r="E357" s="9">
        <f>IF(B357=0,0,(C357-B357)/B357)</f>
        <v>0.03</v>
      </c>
      <c r="F357" s="5" t="str">
        <f>IF(AND(C357&gt;0,C357&gt;B357*1.1),"OVER","ok")</f>
        <v>ok</v>
      </c>
      <c r="G357" s="5" t="s">
        <v>1348</v>
      </c>
    </row>
    <row r="358" spans="1:7">
      <c r="A358" s="5" t="s">
        <v>329</v>
      </c>
      <c r="B358" s="6">
        <v>27829.61</v>
      </c>
      <c r="C358" s="6">
        <v>26680.5</v>
      </c>
      <c r="D358" s="6">
        <f>C358-B358</f>
        <v>-1149.11</v>
      </c>
      <c r="E358" s="9">
        <f>IF(B358=0,0,(C358-B358)/B358)</f>
        <v>-0.040999999999999995</v>
      </c>
      <c r="F358" s="5" t="str">
        <f>IF(AND(C358&gt;0,C358&gt;B358*1.1),"OVER","ok")</f>
        <v>ok</v>
      </c>
      <c r="G358" s="5" t="s">
        <v>1349</v>
      </c>
    </row>
    <row r="359" spans="1:7">
      <c r="A359" s="5" t="s">
        <v>325</v>
      </c>
      <c r="B359" s="6">
        <v>32178.77</v>
      </c>
      <c r="C359" s="6">
        <v>28222.74</v>
      </c>
      <c r="D359" s="6">
        <f>C359-B359</f>
        <v>-3956.03</v>
      </c>
      <c r="E359" s="9">
        <f>IF(B359=0,0,(C359-B359)/B359)</f>
        <v>-0.12300000000000001</v>
      </c>
      <c r="F359" s="5" t="str">
        <f>IF(AND(C359&gt;0,C359&gt;B359*1.1),"OVER","ok")</f>
        <v>ok</v>
      </c>
      <c r="G359" s="5" t="s">
        <v>1350</v>
      </c>
    </row>
    <row r="360" spans="1:7">
      <c r="A360" s="5" t="s">
        <v>375</v>
      </c>
      <c r="B360" s="6">
        <v>8408.1</v>
      </c>
      <c r="C360" s="6">
        <v>9062.82</v>
      </c>
      <c r="D360" s="6">
        <f>C360-B360</f>
        <v>654.72</v>
      </c>
      <c r="E360" s="9">
        <f>IF(B360=0,0,(C360-B360)/B360)</f>
        <v>0.078</v>
      </c>
      <c r="F360" s="5" t="str">
        <f>IF(AND(C360&gt;0,C360&gt;B360*1.1),"OVER","ok")</f>
        <v>ok</v>
      </c>
      <c r="G360" s="5" t="s">
        <v>1351</v>
      </c>
    </row>
    <row r="361" spans="1:7">
      <c r="A361" s="5" t="s">
        <v>356</v>
      </c>
      <c r="B361" s="6">
        <v>7880.75</v>
      </c>
      <c r="C361" s="6">
        <v>0</v>
      </c>
      <c r="D361" s="6">
        <f>C361-B361</f>
        <v>-7880.75</v>
      </c>
      <c r="E361" s="9">
        <f>IF(B361=0,0,(C361-B361)/B361)</f>
        <v>-1.0</v>
      </c>
      <c r="F361" s="5" t="str">
        <f>IF(AND(C361&gt;0,C361&gt;B361*1.1),"OVER","ok")</f>
        <v>ok</v>
      </c>
      <c r="G361" s="5" t="s">
        <v>1159</v>
      </c>
    </row>
    <row r="362" spans="1:7">
      <c r="A362" s="10" t="s">
        <v>1160</v>
      </c>
      <c r="B362" s="13">
        <f>SUM(B357:B361)</f>
        <v>86688.27</v>
      </c>
      <c r="C362" s="13">
        <f>SUM(C357:C361)</f>
        <v>74673.72</v>
      </c>
      <c r="D362" s="13">
        <f>C362-B362</f>
        <v>-12014.55</v>
      </c>
      <c r="E362" s="9">
        <f>(C362-B362)/B362</f>
        <v>-0.139</v>
      </c>
      <c r="F362" s="5" t="str">
        <f>IF(AND(C362&gt;0,C362&gt;B362*1.1),"OVER","ok")</f>
        <v>ok</v>
      </c>
    </row>
    <row r="364" spans="1:7">
      <c r="A364" s="10" t="s">
        <v>1352</v>
      </c>
    </row>
    <row r="365" spans="1:7">
      <c r="A365" s="4" t="s">
        <v>321</v>
      </c>
      <c r="B365" s="4" t="s">
        <v>1149</v>
      </c>
      <c r="C365" s="4" t="s">
        <v>1150</v>
      </c>
      <c r="D365" s="4" t="s">
        <v>1151</v>
      </c>
      <c r="E365" s="4" t="s">
        <v>1152</v>
      </c>
      <c r="F365" s="4" t="s">
        <v>1153</v>
      </c>
      <c r="G365" s="4" t="s">
        <v>1154</v>
      </c>
    </row>
    <row r="366" spans="1:7">
      <c r="A366" s="5" t="s">
        <v>340</v>
      </c>
      <c r="B366" s="6">
        <v>12571.13</v>
      </c>
      <c r="C366" s="6">
        <v>0</v>
      </c>
      <c r="D366" s="6">
        <f>C366-B366</f>
        <v>-12571.13</v>
      </c>
      <c r="E366" s="9">
        <f>IF(B366=0,0,(C366-B366)/B366)</f>
        <v>-1.0</v>
      </c>
      <c r="F366" s="5" t="str">
        <f>IF(AND(C366&gt;0,C366&gt;B366*1.1),"OVER","ok")</f>
        <v>ok</v>
      </c>
      <c r="G366" s="5" t="s">
        <v>1353</v>
      </c>
    </row>
    <row r="367" spans="1:7">
      <c r="A367" s="5" t="s">
        <v>329</v>
      </c>
      <c r="B367" s="6">
        <v>22860.11</v>
      </c>
      <c r="C367" s="6">
        <v>0</v>
      </c>
      <c r="D367" s="6">
        <f>C367-B367</f>
        <v>-22860.11</v>
      </c>
      <c r="E367" s="9">
        <f>IF(B367=0,0,(C367-B367)/B367)</f>
        <v>-1.0</v>
      </c>
      <c r="F367" s="5" t="str">
        <f>IF(AND(C367&gt;0,C367&gt;B367*1.1),"OVER","ok")</f>
        <v>ok</v>
      </c>
      <c r="G367" s="5" t="s">
        <v>1354</v>
      </c>
    </row>
    <row r="368" spans="1:7">
      <c r="A368" s="5" t="s">
        <v>325</v>
      </c>
      <c r="B368" s="6">
        <v>38491.53</v>
      </c>
      <c r="C368" s="6">
        <v>0</v>
      </c>
      <c r="D368" s="6">
        <f>C368-B368</f>
        <v>-38491.53</v>
      </c>
      <c r="E368" s="9">
        <f>IF(B368=0,0,(C368-B368)/B368)</f>
        <v>-1.0</v>
      </c>
      <c r="F368" s="5" t="str">
        <f>IF(AND(C368&gt;0,C368&gt;B368*1.1),"OVER","ok")</f>
        <v>ok</v>
      </c>
      <c r="G368" s="5" t="s">
        <v>1355</v>
      </c>
    </row>
    <row r="369" spans="1:7">
      <c r="A369" s="5" t="s">
        <v>375</v>
      </c>
      <c r="B369" s="6">
        <v>7749.6</v>
      </c>
      <c r="C369" s="6">
        <v>0</v>
      </c>
      <c r="D369" s="6">
        <f>C369-B369</f>
        <v>-7749.6</v>
      </c>
      <c r="E369" s="9">
        <f>IF(B369=0,0,(C369-B369)/B369)</f>
        <v>-1.0</v>
      </c>
      <c r="F369" s="5" t="str">
        <f>IF(AND(C369&gt;0,C369&gt;B369*1.1),"OVER","ok")</f>
        <v>ok</v>
      </c>
      <c r="G369" s="5" t="s">
        <v>1356</v>
      </c>
    </row>
    <row r="370" spans="1:7">
      <c r="A370" s="5" t="s">
        <v>356</v>
      </c>
      <c r="B370" s="6">
        <v>8167.24</v>
      </c>
      <c r="C370" s="6">
        <v>0</v>
      </c>
      <c r="D370" s="6">
        <f>C370-B370</f>
        <v>-8167.24</v>
      </c>
      <c r="E370" s="9">
        <f>IF(B370=0,0,(C370-B370)/B370)</f>
        <v>-1.0</v>
      </c>
      <c r="F370" s="5" t="str">
        <f>IF(AND(C370&gt;0,C370&gt;B370*1.1),"OVER","ok")</f>
        <v>ok</v>
      </c>
      <c r="G370" s="5" t="s">
        <v>1159</v>
      </c>
    </row>
    <row r="371" spans="1:7">
      <c r="A371" s="10" t="s">
        <v>1160</v>
      </c>
      <c r="B371" s="13">
        <f>SUM(B366:B370)</f>
        <v>89839.61</v>
      </c>
      <c r="C371" s="13">
        <f>SUM(C366:C370)</f>
        <v>0.0</v>
      </c>
      <c r="D371" s="13">
        <f>C371-B371</f>
        <v>-89839.61</v>
      </c>
      <c r="E371" s="9">
        <f>(C371-B371)/B371</f>
        <v>-1.0</v>
      </c>
      <c r="F371" s="5" t="str">
        <f>IF(AND(C371&gt;0,C371&gt;B371*1.1),"OVER","ok")</f>
        <v>ok</v>
      </c>
    </row>
    <row r="373" spans="1:7">
      <c r="A373" s="10" t="s">
        <v>1357</v>
      </c>
    </row>
    <row r="374" spans="1:7">
      <c r="A374" s="4" t="s">
        <v>321</v>
      </c>
      <c r="B374" s="4" t="s">
        <v>1149</v>
      </c>
      <c r="C374" s="4" t="s">
        <v>1150</v>
      </c>
      <c r="D374" s="4" t="s">
        <v>1151</v>
      </c>
      <c r="E374" s="4" t="s">
        <v>1152</v>
      </c>
      <c r="F374" s="4" t="s">
        <v>1153</v>
      </c>
      <c r="G374" s="4" t="s">
        <v>1154</v>
      </c>
    </row>
    <row r="375" spans="1:7">
      <c r="A375" s="5" t="s">
        <v>340</v>
      </c>
      <c r="B375" s="6">
        <v>13213.99</v>
      </c>
      <c r="C375" s="6">
        <v>0</v>
      </c>
      <c r="D375" s="6">
        <f>C375-B375</f>
        <v>-13213.99</v>
      </c>
      <c r="E375" s="9">
        <f>IF(B375=0,0,(C375-B375)/B375)</f>
        <v>-1.0</v>
      </c>
      <c r="F375" s="5" t="str">
        <f>IF(AND(C375&gt;0,C375&gt;B375*1.1),"OVER","ok")</f>
        <v>ok</v>
      </c>
      <c r="G375" s="5" t="s">
        <v>1358</v>
      </c>
    </row>
    <row r="376" spans="1:7">
      <c r="A376" s="5" t="s">
        <v>329</v>
      </c>
      <c r="B376" s="6">
        <v>24984.92</v>
      </c>
      <c r="C376" s="6">
        <v>0</v>
      </c>
      <c r="D376" s="6">
        <f>C376-B376</f>
        <v>-24984.92</v>
      </c>
      <c r="E376" s="9">
        <f>IF(B376=0,0,(C376-B376)/B376)</f>
        <v>-1.0</v>
      </c>
      <c r="F376" s="5" t="str">
        <f>IF(AND(C376&gt;0,C376&gt;B376*1.1),"OVER","ok")</f>
        <v>ok</v>
      </c>
      <c r="G376" s="5" t="s">
        <v>1285</v>
      </c>
    </row>
    <row r="377" spans="1:7">
      <c r="A377" s="5" t="s">
        <v>325</v>
      </c>
      <c r="B377" s="6">
        <v>31945.86</v>
      </c>
      <c r="C377" s="6">
        <v>0</v>
      </c>
      <c r="D377" s="6">
        <f>C377-B377</f>
        <v>-31945.86</v>
      </c>
      <c r="E377" s="9">
        <f>IF(B377=0,0,(C377-B377)/B377)</f>
        <v>-1.0</v>
      </c>
      <c r="F377" s="5" t="str">
        <f>IF(AND(C377&gt;0,C377&gt;B377*1.1),"OVER","ok")</f>
        <v>ok</v>
      </c>
      <c r="G377" s="5" t="s">
        <v>1359</v>
      </c>
    </row>
    <row r="378" spans="1:7">
      <c r="A378" s="5" t="s">
        <v>375</v>
      </c>
      <c r="B378" s="6">
        <v>7131.49</v>
      </c>
      <c r="C378" s="6">
        <v>0</v>
      </c>
      <c r="D378" s="6">
        <f>C378-B378</f>
        <v>-7131.49</v>
      </c>
      <c r="E378" s="9">
        <f>IF(B378=0,0,(C378-B378)/B378)</f>
        <v>-1.0</v>
      </c>
      <c r="F378" s="5" t="str">
        <f>IF(AND(C378&gt;0,C378&gt;B378*1.1),"OVER","ok")</f>
        <v>ok</v>
      </c>
      <c r="G378" s="5" t="s">
        <v>1360</v>
      </c>
    </row>
    <row r="379" spans="1:7">
      <c r="A379" s="5" t="s">
        <v>356</v>
      </c>
      <c r="B379" s="6">
        <v>7727.63</v>
      </c>
      <c r="C379" s="6">
        <v>0</v>
      </c>
      <c r="D379" s="6">
        <f>C379-B379</f>
        <v>-7727.63</v>
      </c>
      <c r="E379" s="9">
        <f>IF(B379=0,0,(C379-B379)/B379)</f>
        <v>-1.0</v>
      </c>
      <c r="F379" s="5" t="str">
        <f>IF(AND(C379&gt;0,C379&gt;B379*1.1),"OVER","ok")</f>
        <v>ok</v>
      </c>
      <c r="G379" s="5" t="s">
        <v>1159</v>
      </c>
    </row>
    <row r="380" spans="1:7">
      <c r="A380" s="10" t="s">
        <v>1160</v>
      </c>
      <c r="B380" s="13">
        <f>SUM(B375:B379)</f>
        <v>85003.89</v>
      </c>
      <c r="C380" s="13">
        <f>SUM(C375:C379)</f>
        <v>0.0</v>
      </c>
      <c r="D380" s="13">
        <f>C380-B380</f>
        <v>-85003.89</v>
      </c>
      <c r="E380" s="9">
        <f>(C380-B380)/B380</f>
        <v>-1.0</v>
      </c>
      <c r="F380" s="5" t="str">
        <f>IF(AND(C380&gt;0,C380&gt;B380*1.1),"OVER","ok")</f>
        <v>ok</v>
      </c>
    </row>
    <row r="382" spans="1:7">
      <c r="A382" s="10" t="s">
        <v>1361</v>
      </c>
    </row>
    <row r="383" spans="1:7">
      <c r="A383" s="4" t="s">
        <v>321</v>
      </c>
      <c r="B383" s="4" t="s">
        <v>1149</v>
      </c>
      <c r="C383" s="4" t="s">
        <v>1150</v>
      </c>
      <c r="D383" s="4" t="s">
        <v>1151</v>
      </c>
      <c r="E383" s="4" t="s">
        <v>1152</v>
      </c>
      <c r="F383" s="4" t="s">
        <v>1153</v>
      </c>
      <c r="G383" s="4" t="s">
        <v>1154</v>
      </c>
    </row>
    <row r="384" spans="1:7">
      <c r="A384" s="5" t="s">
        <v>340</v>
      </c>
      <c r="B384" s="6">
        <v>16372.49</v>
      </c>
      <c r="C384" s="6">
        <v>0</v>
      </c>
      <c r="D384" s="6">
        <f>C384-B384</f>
        <v>-16372.49</v>
      </c>
      <c r="E384" s="9">
        <f>IF(B384=0,0,(C384-B384)/B384)</f>
        <v>-1.0</v>
      </c>
      <c r="F384" s="5" t="str">
        <f>IF(AND(C384&gt;0,C384&gt;B384*1.1),"OVER","ok")</f>
        <v>ok</v>
      </c>
      <c r="G384" s="5" t="s">
        <v>1362</v>
      </c>
    </row>
    <row r="385" spans="1:7">
      <c r="A385" s="5" t="s">
        <v>329</v>
      </c>
      <c r="B385" s="6">
        <v>12674.14</v>
      </c>
      <c r="C385" s="6">
        <v>0</v>
      </c>
      <c r="D385" s="6">
        <f>C385-B385</f>
        <v>-12674.14</v>
      </c>
      <c r="E385" s="9">
        <f>IF(B385=0,0,(C385-B385)/B385)</f>
        <v>-1.0</v>
      </c>
      <c r="F385" s="5" t="str">
        <f>IF(AND(C385&gt;0,C385&gt;B385*1.1),"OVER","ok")</f>
        <v>ok</v>
      </c>
      <c r="G385" s="5" t="s">
        <v>1363</v>
      </c>
    </row>
    <row r="386" spans="1:7">
      <c r="A386" s="5" t="s">
        <v>325</v>
      </c>
      <c r="B386" s="6">
        <v>14410.02</v>
      </c>
      <c r="C386" s="6">
        <v>0</v>
      </c>
      <c r="D386" s="6">
        <f>C386-B386</f>
        <v>-14410.02</v>
      </c>
      <c r="E386" s="9">
        <f>IF(B386=0,0,(C386-B386)/B386)</f>
        <v>-1.0</v>
      </c>
      <c r="F386" s="5" t="str">
        <f>IF(AND(C386&gt;0,C386&gt;B386*1.1),"OVER","ok")</f>
        <v>ok</v>
      </c>
      <c r="G386" s="5" t="s">
        <v>1364</v>
      </c>
    </row>
    <row r="387" spans="1:7">
      <c r="A387" s="5" t="s">
        <v>375</v>
      </c>
      <c r="B387" s="6">
        <v>5328.17</v>
      </c>
      <c r="C387" s="6">
        <v>0</v>
      </c>
      <c r="D387" s="6">
        <f>C387-B387</f>
        <v>-5328.17</v>
      </c>
      <c r="E387" s="9">
        <f>IF(B387=0,0,(C387-B387)/B387)</f>
        <v>-1.0</v>
      </c>
      <c r="F387" s="5" t="str">
        <f>IF(AND(C387&gt;0,C387&gt;B387*1.1),"OVER","ok")</f>
        <v>ok</v>
      </c>
      <c r="G387" s="5" t="s">
        <v>1165</v>
      </c>
    </row>
    <row r="388" spans="1:7">
      <c r="A388" s="5" t="s">
        <v>356</v>
      </c>
      <c r="B388" s="6">
        <v>4878.48</v>
      </c>
      <c r="C388" s="6">
        <v>0</v>
      </c>
      <c r="D388" s="6">
        <f>C388-B388</f>
        <v>-4878.48</v>
      </c>
      <c r="E388" s="9">
        <f>IF(B388=0,0,(C388-B388)/B388)</f>
        <v>-1.0</v>
      </c>
      <c r="F388" s="5" t="str">
        <f>IF(AND(C388&gt;0,C388&gt;B388*1.1),"OVER","ok")</f>
        <v>ok</v>
      </c>
      <c r="G388" s="5" t="s">
        <v>1159</v>
      </c>
    </row>
    <row r="389" spans="1:7">
      <c r="A389" s="10" t="s">
        <v>1160</v>
      </c>
      <c r="B389" s="13">
        <f>SUM(B384:B388)</f>
        <v>53663.3</v>
      </c>
      <c r="C389" s="13">
        <f>SUM(C384:C388)</f>
        <v>0.0</v>
      </c>
      <c r="D389" s="13">
        <f>C389-B389</f>
        <v>-53663.3</v>
      </c>
      <c r="E389" s="9">
        <f>(C389-B389)/B389</f>
        <v>-1.0</v>
      </c>
      <c r="F389" s="5" t="str">
        <f>IF(AND(C389&gt;0,C389&gt;B389*1.1),"OVER","ok")</f>
        <v>ok</v>
      </c>
    </row>
    <row r="391" spans="1:7">
      <c r="A391" s="10" t="s">
        <v>1365</v>
      </c>
    </row>
    <row r="392" spans="1:7">
      <c r="A392" s="4" t="s">
        <v>321</v>
      </c>
      <c r="B392" s="4" t="s">
        <v>1149</v>
      </c>
      <c r="C392" s="4" t="s">
        <v>1150</v>
      </c>
      <c r="D392" s="4" t="s">
        <v>1151</v>
      </c>
      <c r="E392" s="4" t="s">
        <v>1152</v>
      </c>
      <c r="F392" s="4" t="s">
        <v>1153</v>
      </c>
      <c r="G392" s="4" t="s">
        <v>1154</v>
      </c>
    </row>
    <row r="393" spans="1:7">
      <c r="A393" s="5" t="s">
        <v>340</v>
      </c>
      <c r="B393" s="6">
        <v>13928.07</v>
      </c>
      <c r="C393" s="6">
        <v>0</v>
      </c>
      <c r="D393" s="6">
        <f>C393-B393</f>
        <v>-13928.07</v>
      </c>
      <c r="E393" s="9">
        <f>IF(B393=0,0,(C393-B393)/B393)</f>
        <v>-1.0</v>
      </c>
      <c r="F393" s="5" t="str">
        <f>IF(AND(C393&gt;0,C393&gt;B393*1.1),"OVER","ok")</f>
        <v>ok</v>
      </c>
      <c r="G393" s="5" t="s">
        <v>1366</v>
      </c>
    </row>
    <row r="394" spans="1:7">
      <c r="A394" s="5" t="s">
        <v>329</v>
      </c>
      <c r="B394" s="6">
        <v>18504.47</v>
      </c>
      <c r="C394" s="6">
        <v>0</v>
      </c>
      <c r="D394" s="6">
        <f>C394-B394</f>
        <v>-18504.47</v>
      </c>
      <c r="E394" s="9">
        <f>IF(B394=0,0,(C394-B394)/B394)</f>
        <v>-1.0</v>
      </c>
      <c r="F394" s="5" t="str">
        <f>IF(AND(C394&gt;0,C394&gt;B394*1.1),"OVER","ok")</f>
        <v>ok</v>
      </c>
      <c r="G394" s="5" t="s">
        <v>1367</v>
      </c>
    </row>
    <row r="395" spans="1:7">
      <c r="A395" s="5" t="s">
        <v>325</v>
      </c>
      <c r="B395" s="6">
        <v>27489.58</v>
      </c>
      <c r="C395" s="6">
        <v>0</v>
      </c>
      <c r="D395" s="6">
        <f>C395-B395</f>
        <v>-27489.58</v>
      </c>
      <c r="E395" s="9">
        <f>IF(B395=0,0,(C395-B395)/B395)</f>
        <v>-1.0</v>
      </c>
      <c r="F395" s="5" t="str">
        <f>IF(AND(C395&gt;0,C395&gt;B395*1.1),"OVER","ok")</f>
        <v>ok</v>
      </c>
      <c r="G395" s="5" t="s">
        <v>1368</v>
      </c>
    </row>
    <row r="396" spans="1:7">
      <c r="A396" s="5" t="s">
        <v>375</v>
      </c>
      <c r="B396" s="6">
        <v>5999.73</v>
      </c>
      <c r="C396" s="6">
        <v>0</v>
      </c>
      <c r="D396" s="6">
        <f>C396-B396</f>
        <v>-5999.73</v>
      </c>
      <c r="E396" s="9">
        <f>IF(B396=0,0,(C396-B396)/B396)</f>
        <v>-1.0</v>
      </c>
      <c r="F396" s="5" t="str">
        <f>IF(AND(C396&gt;0,C396&gt;B396*1.1),"OVER","ok")</f>
        <v>ok</v>
      </c>
      <c r="G396" s="5" t="s">
        <v>1369</v>
      </c>
    </row>
    <row r="397" spans="1:7">
      <c r="A397" s="5" t="s">
        <v>356</v>
      </c>
      <c r="B397" s="6">
        <v>6592.19</v>
      </c>
      <c r="C397" s="6">
        <v>0</v>
      </c>
      <c r="D397" s="6">
        <f>C397-B397</f>
        <v>-6592.19</v>
      </c>
      <c r="E397" s="9">
        <f>IF(B397=0,0,(C397-B397)/B397)</f>
        <v>-1.0</v>
      </c>
      <c r="F397" s="5" t="str">
        <f>IF(AND(C397&gt;0,C397&gt;B397*1.1),"OVER","ok")</f>
        <v>ok</v>
      </c>
      <c r="G397" s="5" t="s">
        <v>1159</v>
      </c>
    </row>
    <row r="398" spans="1:7">
      <c r="A398" s="10" t="s">
        <v>1160</v>
      </c>
      <c r="B398" s="13">
        <f>SUM(B393:B397)</f>
        <v>72514.04</v>
      </c>
      <c r="C398" s="13">
        <f>SUM(C393:C397)</f>
        <v>0.0</v>
      </c>
      <c r="D398" s="13">
        <f>C398-B398</f>
        <v>-72514.04</v>
      </c>
      <c r="E398" s="9">
        <f>(C398-B398)/B398</f>
        <v>-1.0</v>
      </c>
      <c r="F398" s="5" t="str">
        <f>IF(AND(C398&gt;0,C398&gt;B398*1.1),"OVER","ok")</f>
        <v>ok</v>
      </c>
    </row>
    <row r="400" spans="1:7">
      <c r="A400" s="10" t="s">
        <v>1370</v>
      </c>
    </row>
    <row r="401" spans="1:7">
      <c r="A401" s="4" t="s">
        <v>321</v>
      </c>
      <c r="B401" s="4" t="s">
        <v>1149</v>
      </c>
      <c r="C401" s="4" t="s">
        <v>1150</v>
      </c>
      <c r="D401" s="4" t="s">
        <v>1151</v>
      </c>
      <c r="E401" s="4" t="s">
        <v>1152</v>
      </c>
      <c r="F401" s="4" t="s">
        <v>1153</v>
      </c>
      <c r="G401" s="4" t="s">
        <v>1154</v>
      </c>
    </row>
    <row r="402" spans="1:7">
      <c r="A402" s="5" t="s">
        <v>340</v>
      </c>
      <c r="B402" s="6">
        <v>13095.63</v>
      </c>
      <c r="C402" s="6">
        <v>0</v>
      </c>
      <c r="D402" s="6">
        <f>C402-B402</f>
        <v>-13095.63</v>
      </c>
      <c r="E402" s="9">
        <f>IF(B402=0,0,(C402-B402)/B402)</f>
        <v>-1.0</v>
      </c>
      <c r="F402" s="5" t="str">
        <f>IF(AND(C402&gt;0,C402&gt;B402*1.1),"OVER","ok")</f>
        <v>ok</v>
      </c>
      <c r="G402" s="5" t="s">
        <v>1371</v>
      </c>
    </row>
    <row r="403" spans="1:7">
      <c r="A403" s="5" t="s">
        <v>329</v>
      </c>
      <c r="B403" s="6">
        <v>17942.28</v>
      </c>
      <c r="C403" s="6">
        <v>0</v>
      </c>
      <c r="D403" s="6">
        <f>C403-B403</f>
        <v>-17942.28</v>
      </c>
      <c r="E403" s="9">
        <f>IF(B403=0,0,(C403-B403)/B403)</f>
        <v>-1.0</v>
      </c>
      <c r="F403" s="5" t="str">
        <f>IF(AND(C403&gt;0,C403&gt;B403*1.1),"OVER","ok")</f>
        <v>ok</v>
      </c>
      <c r="G403" s="5" t="s">
        <v>1372</v>
      </c>
    </row>
    <row r="404" spans="1:7">
      <c r="A404" s="5" t="s">
        <v>325</v>
      </c>
      <c r="B404" s="6">
        <v>44585.57</v>
      </c>
      <c r="C404" s="6">
        <v>0</v>
      </c>
      <c r="D404" s="6">
        <f>C404-B404</f>
        <v>-44585.57</v>
      </c>
      <c r="E404" s="9">
        <f>IF(B404=0,0,(C404-B404)/B404)</f>
        <v>-1.0</v>
      </c>
      <c r="F404" s="5" t="str">
        <f>IF(AND(C404&gt;0,C404&gt;B404*1.1),"OVER","ok")</f>
        <v>ok</v>
      </c>
      <c r="G404" s="5" t="s">
        <v>1373</v>
      </c>
    </row>
    <row r="405" spans="1:7">
      <c r="A405" s="5" t="s">
        <v>375</v>
      </c>
      <c r="B405" s="6">
        <v>8223.18</v>
      </c>
      <c r="C405" s="6">
        <v>0</v>
      </c>
      <c r="D405" s="6">
        <f>C405-B405</f>
        <v>-8223.18</v>
      </c>
      <c r="E405" s="9">
        <f>IF(B405=0,0,(C405-B405)/B405)</f>
        <v>-1.0</v>
      </c>
      <c r="F405" s="5" t="str">
        <f>IF(AND(C405&gt;0,C405&gt;B405*1.1),"OVER","ok")</f>
        <v>ok</v>
      </c>
      <c r="G405" s="5" t="s">
        <v>1374</v>
      </c>
    </row>
    <row r="406" spans="1:7">
      <c r="A406" s="5" t="s">
        <v>356</v>
      </c>
      <c r="B406" s="6">
        <v>8384.67</v>
      </c>
      <c r="C406" s="6">
        <v>0</v>
      </c>
      <c r="D406" s="6">
        <f>C406-B406</f>
        <v>-8384.67</v>
      </c>
      <c r="E406" s="9">
        <f>IF(B406=0,0,(C406-B406)/B406)</f>
        <v>-1.0</v>
      </c>
      <c r="F406" s="5" t="str">
        <f>IF(AND(C406&gt;0,C406&gt;B406*1.1),"OVER","ok")</f>
        <v>ok</v>
      </c>
      <c r="G406" s="5" t="s">
        <v>1159</v>
      </c>
    </row>
    <row r="407" spans="1:7">
      <c r="A407" s="10" t="s">
        <v>1160</v>
      </c>
      <c r="B407" s="13">
        <f>SUM(B402:B406)</f>
        <v>92231.33</v>
      </c>
      <c r="C407" s="13">
        <f>SUM(C402:C406)</f>
        <v>0.0</v>
      </c>
      <c r="D407" s="13">
        <f>C407-B407</f>
        <v>-92231.33</v>
      </c>
      <c r="E407" s="9">
        <f>(C407-B407)/B407</f>
        <v>-1.0</v>
      </c>
      <c r="F407" s="5" t="str">
        <f>IF(AND(C407&gt;0,C407&gt;B407*1.1),"OVER","ok")</f>
        <v>ok</v>
      </c>
    </row>
  </sheetData>
  <conditionalFormatting sqref="E105:E110">
    <cfRule type="cellIs" dxfId="1" priority="45" operator="greaterThan">
      <formula>0.1</formula>
    </cfRule>
    <cfRule type="cellIs" dxfId="2" priority="46" operator="between">
      <formula>0</formula>
      <formula>0.1</formula>
    </cfRule>
    <cfRule type="cellIs" dxfId="0" priority="47" operator="lessThan">
      <formula>0</formula>
    </cfRule>
  </conditionalFormatting>
  <conditionalFormatting sqref="E114:E119">
    <cfRule type="cellIs" dxfId="1" priority="49" operator="greaterThan">
      <formula>0.1</formula>
    </cfRule>
    <cfRule type="cellIs" dxfId="2" priority="50" operator="between">
      <formula>0</formula>
      <formula>0.1</formula>
    </cfRule>
    <cfRule type="cellIs" dxfId="0" priority="51" operator="lessThan">
      <formula>0</formula>
    </cfRule>
  </conditionalFormatting>
  <conditionalFormatting sqref="E123:E128">
    <cfRule type="cellIs" dxfId="1" priority="53" operator="greaterThan">
      <formula>0.1</formula>
    </cfRule>
    <cfRule type="cellIs" dxfId="2" priority="54" operator="between">
      <formula>0</formula>
      <formula>0.1</formula>
    </cfRule>
    <cfRule type="cellIs" dxfId="0" priority="55" operator="lessThan">
      <formula>0</formula>
    </cfRule>
  </conditionalFormatting>
  <conditionalFormatting sqref="E132:E137">
    <cfRule type="cellIs" dxfId="1" priority="57" operator="greaterThan">
      <formula>0.1</formula>
    </cfRule>
    <cfRule type="cellIs" dxfId="2" priority="58" operator="between">
      <formula>0</formula>
      <formula>0.1</formula>
    </cfRule>
    <cfRule type="cellIs" dxfId="0" priority="59" operator="lessThan">
      <formula>0</formula>
    </cfRule>
  </conditionalFormatting>
  <conditionalFormatting sqref="E141:E146">
    <cfRule type="cellIs" dxfId="1" priority="61" operator="greaterThan">
      <formula>0.1</formula>
    </cfRule>
    <cfRule type="cellIs" dxfId="2" priority="62" operator="between">
      <formula>0</formula>
      <formula>0.1</formula>
    </cfRule>
    <cfRule type="cellIs" dxfId="0" priority="63" operator="lessThan">
      <formula>0</formula>
    </cfRule>
  </conditionalFormatting>
  <conditionalFormatting sqref="E150:E155">
    <cfRule type="cellIs" dxfId="1" priority="65" operator="greaterThan">
      <formula>0.1</formula>
    </cfRule>
    <cfRule type="cellIs" dxfId="2" priority="66" operator="between">
      <formula>0</formula>
      <formula>0.1</formula>
    </cfRule>
    <cfRule type="cellIs" dxfId="0" priority="67" operator="lessThan">
      <formula>0</formula>
    </cfRule>
  </conditionalFormatting>
  <conditionalFormatting sqref="E159:E164">
    <cfRule type="cellIs" dxfId="1" priority="69" operator="greaterThan">
      <formula>0.1</formula>
    </cfRule>
    <cfRule type="cellIs" dxfId="2" priority="70" operator="between">
      <formula>0</formula>
      <formula>0.1</formula>
    </cfRule>
    <cfRule type="cellIs" dxfId="0" priority="71" operator="lessThan">
      <formula>0</formula>
    </cfRule>
  </conditionalFormatting>
  <conditionalFormatting sqref="E15:E20">
    <cfRule type="cellIs" dxfId="1" priority="5" operator="greaterThan">
      <formula>0.1</formula>
    </cfRule>
    <cfRule type="cellIs" dxfId="2" priority="6" operator="between">
      <formula>0</formula>
      <formula>0.1</formula>
    </cfRule>
    <cfRule type="cellIs" dxfId="0" priority="7" operator="lessThan">
      <formula>0</formula>
    </cfRule>
  </conditionalFormatting>
  <conditionalFormatting sqref="E168:E173">
    <cfRule type="cellIs" dxfId="1" priority="73" operator="greaterThan">
      <formula>0.1</formula>
    </cfRule>
    <cfRule type="cellIs" dxfId="2" priority="74" operator="between">
      <formula>0</formula>
      <formula>0.1</formula>
    </cfRule>
    <cfRule type="cellIs" dxfId="0" priority="75" operator="lessThan">
      <formula>0</formula>
    </cfRule>
  </conditionalFormatting>
  <conditionalFormatting sqref="E177:E182">
    <cfRule type="cellIs" dxfId="1" priority="77" operator="greaterThan">
      <formula>0.1</formula>
    </cfRule>
    <cfRule type="cellIs" dxfId="2" priority="78" operator="between">
      <formula>0</formula>
      <formula>0.1</formula>
    </cfRule>
    <cfRule type="cellIs" dxfId="0" priority="79" operator="lessThan">
      <formula>0</formula>
    </cfRule>
  </conditionalFormatting>
  <conditionalFormatting sqref="E186:E191">
    <cfRule type="cellIs" dxfId="1" priority="81" operator="greaterThan">
      <formula>0.1</formula>
    </cfRule>
    <cfRule type="cellIs" dxfId="2" priority="82" operator="between">
      <formula>0</formula>
      <formula>0.1</formula>
    </cfRule>
    <cfRule type="cellIs" dxfId="0" priority="83" operator="lessThan">
      <formula>0</formula>
    </cfRule>
  </conditionalFormatting>
  <conditionalFormatting sqref="E195:E200">
    <cfRule type="cellIs" dxfId="1" priority="85" operator="greaterThan">
      <formula>0.1</formula>
    </cfRule>
    <cfRule type="cellIs" dxfId="2" priority="86" operator="between">
      <formula>0</formula>
      <formula>0.1</formula>
    </cfRule>
    <cfRule type="cellIs" dxfId="0" priority="87" operator="lessThan">
      <formula>0</formula>
    </cfRule>
  </conditionalFormatting>
  <conditionalFormatting sqref="E204:E209">
    <cfRule type="cellIs" dxfId="1" priority="89" operator="greaterThan">
      <formula>0.1</formula>
    </cfRule>
    <cfRule type="cellIs" dxfId="2" priority="90" operator="between">
      <formula>0</formula>
      <formula>0.1</formula>
    </cfRule>
    <cfRule type="cellIs" dxfId="0" priority="91" operator="lessThan">
      <formula>0</formula>
    </cfRule>
  </conditionalFormatting>
  <conditionalFormatting sqref="E213:E218">
    <cfRule type="cellIs" dxfId="1" priority="93" operator="greaterThan">
      <formula>0.1</formula>
    </cfRule>
    <cfRule type="cellIs" dxfId="2" priority="94" operator="between">
      <formula>0</formula>
      <formula>0.1</formula>
    </cfRule>
    <cfRule type="cellIs" dxfId="0" priority="95" operator="lessThan">
      <formula>0</formula>
    </cfRule>
  </conditionalFormatting>
  <conditionalFormatting sqref="E222:E227">
    <cfRule type="cellIs" dxfId="1" priority="97" operator="greaterThan">
      <formula>0.1</formula>
    </cfRule>
    <cfRule type="cellIs" dxfId="2" priority="98" operator="between">
      <formula>0</formula>
      <formula>0.1</formula>
    </cfRule>
    <cfRule type="cellIs" dxfId="0" priority="99" operator="lessThan">
      <formula>0</formula>
    </cfRule>
  </conditionalFormatting>
  <conditionalFormatting sqref="E231:E236">
    <cfRule type="cellIs" dxfId="1" priority="101" operator="greaterThan">
      <formula>0.1</formula>
    </cfRule>
    <cfRule type="cellIs" dxfId="2" priority="102" operator="between">
      <formula>0</formula>
      <formula>0.1</formula>
    </cfRule>
    <cfRule type="cellIs" dxfId="0" priority="103" operator="lessThan">
      <formula>0</formula>
    </cfRule>
  </conditionalFormatting>
  <conditionalFormatting sqref="E240:E245">
    <cfRule type="cellIs" dxfId="1" priority="105" operator="greaterThan">
      <formula>0.1</formula>
    </cfRule>
    <cfRule type="cellIs" dxfId="2" priority="106" operator="between">
      <formula>0</formula>
      <formula>0.1</formula>
    </cfRule>
    <cfRule type="cellIs" dxfId="0" priority="107" operator="lessThan">
      <formula>0</formula>
    </cfRule>
  </conditionalFormatting>
  <conditionalFormatting sqref="E249:E254">
    <cfRule type="cellIs" dxfId="1" priority="109" operator="greaterThan">
      <formula>0.1</formula>
    </cfRule>
    <cfRule type="cellIs" dxfId="2" priority="110" operator="between">
      <formula>0</formula>
      <formula>0.1</formula>
    </cfRule>
    <cfRule type="cellIs" dxfId="0" priority="111" operator="lessThan">
      <formula>0</formula>
    </cfRule>
  </conditionalFormatting>
  <conditionalFormatting sqref="E24:E29">
    <cfRule type="cellIs" dxfId="1" priority="9" operator="greaterThan">
      <formula>0.1</formula>
    </cfRule>
    <cfRule type="cellIs" dxfId="2" priority="10" operator="between">
      <formula>0</formula>
      <formula>0.1</formula>
    </cfRule>
    <cfRule type="cellIs" dxfId="0" priority="11" operator="lessThan">
      <formula>0</formula>
    </cfRule>
  </conditionalFormatting>
  <conditionalFormatting sqref="E258:E263">
    <cfRule type="cellIs" dxfId="1" priority="113" operator="greaterThan">
      <formula>0.1</formula>
    </cfRule>
    <cfRule type="cellIs" dxfId="2" priority="114" operator="between">
      <formula>0</formula>
      <formula>0.1</formula>
    </cfRule>
    <cfRule type="cellIs" dxfId="0" priority="115" operator="lessThan">
      <formula>0</formula>
    </cfRule>
  </conditionalFormatting>
  <conditionalFormatting sqref="E267:E272">
    <cfRule type="cellIs" dxfId="1" priority="117" operator="greaterThan">
      <formula>0.1</formula>
    </cfRule>
    <cfRule type="cellIs" dxfId="2" priority="118" operator="between">
      <formula>0</formula>
      <formula>0.1</formula>
    </cfRule>
    <cfRule type="cellIs" dxfId="0" priority="119" operator="lessThan">
      <formula>0</formula>
    </cfRule>
  </conditionalFormatting>
  <conditionalFormatting sqref="E276:E281">
    <cfRule type="cellIs" dxfId="1" priority="121" operator="greaterThan">
      <formula>0.1</formula>
    </cfRule>
    <cfRule type="cellIs" dxfId="2" priority="122" operator="between">
      <formula>0</formula>
      <formula>0.1</formula>
    </cfRule>
    <cfRule type="cellIs" dxfId="0" priority="123" operator="lessThan">
      <formula>0</formula>
    </cfRule>
  </conditionalFormatting>
  <conditionalFormatting sqref="E285:E290">
    <cfRule type="cellIs" dxfId="1" priority="125" operator="greaterThan">
      <formula>0.1</formula>
    </cfRule>
    <cfRule type="cellIs" dxfId="2" priority="126" operator="between">
      <formula>0</formula>
      <formula>0.1</formula>
    </cfRule>
    <cfRule type="cellIs" dxfId="0" priority="127" operator="lessThan">
      <formula>0</formula>
    </cfRule>
  </conditionalFormatting>
  <conditionalFormatting sqref="E294:E299">
    <cfRule type="cellIs" dxfId="1" priority="129" operator="greaterThan">
      <formula>0.1</formula>
    </cfRule>
    <cfRule type="cellIs" dxfId="2" priority="130" operator="between">
      <formula>0</formula>
      <formula>0.1</formula>
    </cfRule>
    <cfRule type="cellIs" dxfId="0" priority="131" operator="lessThan">
      <formula>0</formula>
    </cfRule>
  </conditionalFormatting>
  <conditionalFormatting sqref="E303:E308">
    <cfRule type="cellIs" dxfId="1" priority="133" operator="greaterThan">
      <formula>0.1</formula>
    </cfRule>
    <cfRule type="cellIs" dxfId="2" priority="134" operator="between">
      <formula>0</formula>
      <formula>0.1</formula>
    </cfRule>
    <cfRule type="cellIs" dxfId="0" priority="135" operator="lessThan">
      <formula>0</formula>
    </cfRule>
  </conditionalFormatting>
  <conditionalFormatting sqref="E312:E317">
    <cfRule type="cellIs" dxfId="1" priority="137" operator="greaterThan">
      <formula>0.1</formula>
    </cfRule>
    <cfRule type="cellIs" dxfId="2" priority="138" operator="between">
      <formula>0</formula>
      <formula>0.1</formula>
    </cfRule>
    <cfRule type="cellIs" dxfId="0" priority="139" operator="lessThan">
      <formula>0</formula>
    </cfRule>
  </conditionalFormatting>
  <conditionalFormatting sqref="E321:E326">
    <cfRule type="cellIs" dxfId="1" priority="141" operator="greaterThan">
      <formula>0.1</formula>
    </cfRule>
    <cfRule type="cellIs" dxfId="2" priority="142" operator="between">
      <formula>0</formula>
      <formula>0.1</formula>
    </cfRule>
    <cfRule type="cellIs" dxfId="0" priority="143" operator="lessThan">
      <formula>0</formula>
    </cfRule>
  </conditionalFormatting>
  <conditionalFormatting sqref="E330:E335">
    <cfRule type="cellIs" dxfId="1" priority="145" operator="greaterThan">
      <formula>0.1</formula>
    </cfRule>
    <cfRule type="cellIs" dxfId="2" priority="146" operator="between">
      <formula>0</formula>
      <formula>0.1</formula>
    </cfRule>
    <cfRule type="cellIs" dxfId="0" priority="147" operator="lessThan">
      <formula>0</formula>
    </cfRule>
  </conditionalFormatting>
  <conditionalFormatting sqref="E339:E344">
    <cfRule type="cellIs" dxfId="1" priority="149" operator="greaterThan">
      <formula>0.1</formula>
    </cfRule>
    <cfRule type="cellIs" dxfId="2" priority="150" operator="between">
      <formula>0</formula>
      <formula>0.1</formula>
    </cfRule>
    <cfRule type="cellIs" dxfId="0" priority="151" operator="lessThan">
      <formula>0</formula>
    </cfRule>
  </conditionalFormatting>
  <conditionalFormatting sqref="E33:E38">
    <cfRule type="cellIs" dxfId="1" priority="13" operator="greaterThan">
      <formula>0.1</formula>
    </cfRule>
    <cfRule type="cellIs" dxfId="2" priority="14" operator="between">
      <formula>0</formula>
      <formula>0.1</formula>
    </cfRule>
    <cfRule type="cellIs" dxfId="0" priority="15" operator="lessThan">
      <formula>0</formula>
    </cfRule>
  </conditionalFormatting>
  <conditionalFormatting sqref="E348:E353">
    <cfRule type="cellIs" dxfId="1" priority="153" operator="greaterThan">
      <formula>0.1</formula>
    </cfRule>
    <cfRule type="cellIs" dxfId="2" priority="154" operator="between">
      <formula>0</formula>
      <formula>0.1</formula>
    </cfRule>
    <cfRule type="cellIs" dxfId="0" priority="155" operator="lessThan">
      <formula>0</formula>
    </cfRule>
  </conditionalFormatting>
  <conditionalFormatting sqref="E357:E362">
    <cfRule type="cellIs" dxfId="1" priority="157" operator="greaterThan">
      <formula>0.1</formula>
    </cfRule>
    <cfRule type="cellIs" dxfId="2" priority="158" operator="between">
      <formula>0</formula>
      <formula>0.1</formula>
    </cfRule>
    <cfRule type="cellIs" dxfId="0" priority="159" operator="lessThan">
      <formula>0</formula>
    </cfRule>
  </conditionalFormatting>
  <conditionalFormatting sqref="E366:E371">
    <cfRule type="cellIs" dxfId="1" priority="161" operator="greaterThan">
      <formula>0.1</formula>
    </cfRule>
    <cfRule type="cellIs" dxfId="2" priority="162" operator="between">
      <formula>0</formula>
      <formula>0.1</formula>
    </cfRule>
    <cfRule type="cellIs" dxfId="0" priority="163" operator="lessThan">
      <formula>0</formula>
    </cfRule>
  </conditionalFormatting>
  <conditionalFormatting sqref="E375:E380">
    <cfRule type="cellIs" dxfId="1" priority="165" operator="greaterThan">
      <formula>0.1</formula>
    </cfRule>
    <cfRule type="cellIs" dxfId="2" priority="166" operator="between">
      <formula>0</formula>
      <formula>0.1</formula>
    </cfRule>
    <cfRule type="cellIs" dxfId="0" priority="167" operator="lessThan">
      <formula>0</formula>
    </cfRule>
  </conditionalFormatting>
  <conditionalFormatting sqref="E384:E389">
    <cfRule type="cellIs" dxfId="1" priority="169" operator="greaterThan">
      <formula>0.1</formula>
    </cfRule>
    <cfRule type="cellIs" dxfId="2" priority="170" operator="between">
      <formula>0</formula>
      <formula>0.1</formula>
    </cfRule>
    <cfRule type="cellIs" dxfId="0" priority="171" operator="lessThan">
      <formula>0</formula>
    </cfRule>
  </conditionalFormatting>
  <conditionalFormatting sqref="E393:E398">
    <cfRule type="cellIs" dxfId="1" priority="173" operator="greaterThan">
      <formula>0.1</formula>
    </cfRule>
    <cfRule type="cellIs" dxfId="2" priority="174" operator="between">
      <formula>0</formula>
      <formula>0.1</formula>
    </cfRule>
    <cfRule type="cellIs" dxfId="0" priority="175" operator="lessThan">
      <formula>0</formula>
    </cfRule>
  </conditionalFormatting>
  <conditionalFormatting sqref="E402:E407">
    <cfRule type="cellIs" dxfId="1" priority="177" operator="greaterThan">
      <formula>0.1</formula>
    </cfRule>
    <cfRule type="cellIs" dxfId="2" priority="178" operator="between">
      <formula>0</formula>
      <formula>0.1</formula>
    </cfRule>
    <cfRule type="cellIs" dxfId="0" priority="179" operator="lessThan">
      <formula>0</formula>
    </cfRule>
  </conditionalFormatting>
  <conditionalFormatting sqref="E42:E47">
    <cfRule type="cellIs" dxfId="1" priority="17" operator="greaterThan">
      <formula>0.1</formula>
    </cfRule>
    <cfRule type="cellIs" dxfId="2" priority="18" operator="between">
      <formula>0</formula>
      <formula>0.1</formula>
    </cfRule>
    <cfRule type="cellIs" dxfId="0" priority="19" operator="lessThan">
      <formula>0</formula>
    </cfRule>
  </conditionalFormatting>
  <conditionalFormatting sqref="E51:E56">
    <cfRule type="cellIs" dxfId="1" priority="21" operator="greaterThan">
      <formula>0.1</formula>
    </cfRule>
    <cfRule type="cellIs" dxfId="2" priority="22" operator="between">
      <formula>0</formula>
      <formula>0.1</formula>
    </cfRule>
    <cfRule type="cellIs" dxfId="0" priority="23" operator="lessThan">
      <formula>0</formula>
    </cfRule>
  </conditionalFormatting>
  <conditionalFormatting sqref="E60:E65">
    <cfRule type="cellIs" dxfId="1" priority="25" operator="greaterThan">
      <formula>0.1</formula>
    </cfRule>
    <cfRule type="cellIs" dxfId="2" priority="26" operator="between">
      <formula>0</formula>
      <formula>0.1</formula>
    </cfRule>
    <cfRule type="cellIs" dxfId="0" priority="27" operator="lessThan">
      <formula>0</formula>
    </cfRule>
  </conditionalFormatting>
  <conditionalFormatting sqref="E69:E74">
    <cfRule type="cellIs" dxfId="1" priority="29" operator="greaterThan">
      <formula>0.1</formula>
    </cfRule>
    <cfRule type="cellIs" dxfId="2" priority="30" operator="between">
      <formula>0</formula>
      <formula>0.1</formula>
    </cfRule>
    <cfRule type="cellIs" dxfId="0" priority="31" operator="lessThan">
      <formula>0</formula>
    </cfRule>
  </conditionalFormatting>
  <conditionalFormatting sqref="E6:E11">
    <cfRule type="cellIs" dxfId="1" priority="1" operator="greaterThan">
      <formula>0.1</formula>
    </cfRule>
    <cfRule type="cellIs" dxfId="2" priority="2" operator="between">
      <formula>0</formula>
      <formula>0.1</formula>
    </cfRule>
    <cfRule type="cellIs" dxfId="0" priority="3" operator="lessThan">
      <formula>0</formula>
    </cfRule>
  </conditionalFormatting>
  <conditionalFormatting sqref="E78:E83">
    <cfRule type="cellIs" dxfId="1" priority="33" operator="greaterThan">
      <formula>0.1</formula>
    </cfRule>
    <cfRule type="cellIs" dxfId="2" priority="34" operator="between">
      <formula>0</formula>
      <formula>0.1</formula>
    </cfRule>
    <cfRule type="cellIs" dxfId="0" priority="35" operator="lessThan">
      <formula>0</formula>
    </cfRule>
  </conditionalFormatting>
  <conditionalFormatting sqref="E87:E92">
    <cfRule type="cellIs" dxfId="1" priority="37" operator="greaterThan">
      <formula>0.1</formula>
    </cfRule>
    <cfRule type="cellIs" dxfId="2" priority="38" operator="between">
      <formula>0</formula>
      <formula>0.1</formula>
    </cfRule>
    <cfRule type="cellIs" dxfId="0" priority="39" operator="lessThan">
      <formula>0</formula>
    </cfRule>
  </conditionalFormatting>
  <conditionalFormatting sqref="E96:E101">
    <cfRule type="cellIs" dxfId="1" priority="41" operator="greaterThan">
      <formula>0.1</formula>
    </cfRule>
    <cfRule type="cellIs" dxfId="2" priority="42" operator="between">
      <formula>0</formula>
      <formula>0.1</formula>
    </cfRule>
    <cfRule type="cellIs" dxfId="0" priority="43" operator="lessThan">
      <formula>0</formula>
    </cfRule>
  </conditionalFormatting>
  <conditionalFormatting sqref="F105:F110">
    <cfRule type="containsText" dxfId="1" priority="48" operator="containsText" text="OVER">
      <formula>NOT(ISERROR(SEARCH("OVER",F105)))</formula>
    </cfRule>
  </conditionalFormatting>
  <conditionalFormatting sqref="F114:F119">
    <cfRule type="containsText" dxfId="1" priority="52" operator="containsText" text="OVER">
      <formula>NOT(ISERROR(SEARCH("OVER",F114)))</formula>
    </cfRule>
  </conditionalFormatting>
  <conditionalFormatting sqref="F123:F128">
    <cfRule type="containsText" dxfId="1" priority="56" operator="containsText" text="OVER">
      <formula>NOT(ISERROR(SEARCH("OVER",F123)))</formula>
    </cfRule>
  </conditionalFormatting>
  <conditionalFormatting sqref="F132:F137">
    <cfRule type="containsText" dxfId="1" priority="60" operator="containsText" text="OVER">
      <formula>NOT(ISERROR(SEARCH("OVER",F132)))</formula>
    </cfRule>
  </conditionalFormatting>
  <conditionalFormatting sqref="F141:F146">
    <cfRule type="containsText" dxfId="1" priority="64" operator="containsText" text="OVER">
      <formula>NOT(ISERROR(SEARCH("OVER",F141)))</formula>
    </cfRule>
  </conditionalFormatting>
  <conditionalFormatting sqref="F150:F155">
    <cfRule type="containsText" dxfId="1" priority="68" operator="containsText" text="OVER">
      <formula>NOT(ISERROR(SEARCH("OVER",F150)))</formula>
    </cfRule>
  </conditionalFormatting>
  <conditionalFormatting sqref="F159:F164">
    <cfRule type="containsText" dxfId="1" priority="72" operator="containsText" text="OVER">
      <formula>NOT(ISERROR(SEARCH("OVER",F159)))</formula>
    </cfRule>
  </conditionalFormatting>
  <conditionalFormatting sqref="F15:F20">
    <cfRule type="containsText" dxfId="1" priority="8" operator="containsText" text="OVER">
      <formula>NOT(ISERROR(SEARCH("OVER",F15)))</formula>
    </cfRule>
  </conditionalFormatting>
  <conditionalFormatting sqref="F168:F173">
    <cfRule type="containsText" dxfId="1" priority="76" operator="containsText" text="OVER">
      <formula>NOT(ISERROR(SEARCH("OVER",F168)))</formula>
    </cfRule>
  </conditionalFormatting>
  <conditionalFormatting sqref="F177:F182">
    <cfRule type="containsText" dxfId="1" priority="80" operator="containsText" text="OVER">
      <formula>NOT(ISERROR(SEARCH("OVER",F177)))</formula>
    </cfRule>
  </conditionalFormatting>
  <conditionalFormatting sqref="F186:F191">
    <cfRule type="containsText" dxfId="1" priority="84" operator="containsText" text="OVER">
      <formula>NOT(ISERROR(SEARCH("OVER",F186)))</formula>
    </cfRule>
  </conditionalFormatting>
  <conditionalFormatting sqref="F195:F200">
    <cfRule type="containsText" dxfId="1" priority="88" operator="containsText" text="OVER">
      <formula>NOT(ISERROR(SEARCH("OVER",F195)))</formula>
    </cfRule>
  </conditionalFormatting>
  <conditionalFormatting sqref="F204:F209">
    <cfRule type="containsText" dxfId="1" priority="92" operator="containsText" text="OVER">
      <formula>NOT(ISERROR(SEARCH("OVER",F204)))</formula>
    </cfRule>
  </conditionalFormatting>
  <conditionalFormatting sqref="F213:F218">
    <cfRule type="containsText" dxfId="1" priority="96" operator="containsText" text="OVER">
      <formula>NOT(ISERROR(SEARCH("OVER",F213)))</formula>
    </cfRule>
  </conditionalFormatting>
  <conditionalFormatting sqref="F222:F227">
    <cfRule type="containsText" dxfId="1" priority="100" operator="containsText" text="OVER">
      <formula>NOT(ISERROR(SEARCH("OVER",F222)))</formula>
    </cfRule>
  </conditionalFormatting>
  <conditionalFormatting sqref="F231:F236">
    <cfRule type="containsText" dxfId="1" priority="104" operator="containsText" text="OVER">
      <formula>NOT(ISERROR(SEARCH("OVER",F231)))</formula>
    </cfRule>
  </conditionalFormatting>
  <conditionalFormatting sqref="F240:F245">
    <cfRule type="containsText" dxfId="1" priority="108" operator="containsText" text="OVER">
      <formula>NOT(ISERROR(SEARCH("OVER",F240)))</formula>
    </cfRule>
  </conditionalFormatting>
  <conditionalFormatting sqref="F249:F254">
    <cfRule type="containsText" dxfId="1" priority="112" operator="containsText" text="OVER">
      <formula>NOT(ISERROR(SEARCH("OVER",F249)))</formula>
    </cfRule>
  </conditionalFormatting>
  <conditionalFormatting sqref="F24:F29">
    <cfRule type="containsText" dxfId="1" priority="12" operator="containsText" text="OVER">
      <formula>NOT(ISERROR(SEARCH("OVER",F24)))</formula>
    </cfRule>
  </conditionalFormatting>
  <conditionalFormatting sqref="F258:F263">
    <cfRule type="containsText" dxfId="1" priority="116" operator="containsText" text="OVER">
      <formula>NOT(ISERROR(SEARCH("OVER",F258)))</formula>
    </cfRule>
  </conditionalFormatting>
  <conditionalFormatting sqref="F267:F272">
    <cfRule type="containsText" dxfId="1" priority="120" operator="containsText" text="OVER">
      <formula>NOT(ISERROR(SEARCH("OVER",F267)))</formula>
    </cfRule>
  </conditionalFormatting>
  <conditionalFormatting sqref="F276:F281">
    <cfRule type="containsText" dxfId="1" priority="124" operator="containsText" text="OVER">
      <formula>NOT(ISERROR(SEARCH("OVER",F276)))</formula>
    </cfRule>
  </conditionalFormatting>
  <conditionalFormatting sqref="F285:F290">
    <cfRule type="containsText" dxfId="1" priority="128" operator="containsText" text="OVER">
      <formula>NOT(ISERROR(SEARCH("OVER",F285)))</formula>
    </cfRule>
  </conditionalFormatting>
  <conditionalFormatting sqref="F294:F299">
    <cfRule type="containsText" dxfId="1" priority="132" operator="containsText" text="OVER">
      <formula>NOT(ISERROR(SEARCH("OVER",F294)))</formula>
    </cfRule>
  </conditionalFormatting>
  <conditionalFormatting sqref="F303:F308">
    <cfRule type="containsText" dxfId="1" priority="136" operator="containsText" text="OVER">
      <formula>NOT(ISERROR(SEARCH("OVER",F303)))</formula>
    </cfRule>
  </conditionalFormatting>
  <conditionalFormatting sqref="F312:F317">
    <cfRule type="containsText" dxfId="1" priority="140" operator="containsText" text="OVER">
      <formula>NOT(ISERROR(SEARCH("OVER",F312)))</formula>
    </cfRule>
  </conditionalFormatting>
  <conditionalFormatting sqref="F321:F326">
    <cfRule type="containsText" dxfId="1" priority="144" operator="containsText" text="OVER">
      <formula>NOT(ISERROR(SEARCH("OVER",F321)))</formula>
    </cfRule>
  </conditionalFormatting>
  <conditionalFormatting sqref="F330:F335">
    <cfRule type="containsText" dxfId="1" priority="148" operator="containsText" text="OVER">
      <formula>NOT(ISERROR(SEARCH("OVER",F330)))</formula>
    </cfRule>
  </conditionalFormatting>
  <conditionalFormatting sqref="F339:F344">
    <cfRule type="containsText" dxfId="1" priority="152" operator="containsText" text="OVER">
      <formula>NOT(ISERROR(SEARCH("OVER",F339)))</formula>
    </cfRule>
  </conditionalFormatting>
  <conditionalFormatting sqref="F33:F38">
    <cfRule type="containsText" dxfId="1" priority="16" operator="containsText" text="OVER">
      <formula>NOT(ISERROR(SEARCH("OVER",F33)))</formula>
    </cfRule>
  </conditionalFormatting>
  <conditionalFormatting sqref="F348:F353">
    <cfRule type="containsText" dxfId="1" priority="156" operator="containsText" text="OVER">
      <formula>NOT(ISERROR(SEARCH("OVER",F348)))</formula>
    </cfRule>
  </conditionalFormatting>
  <conditionalFormatting sqref="F357:F362">
    <cfRule type="containsText" dxfId="1" priority="160" operator="containsText" text="OVER">
      <formula>NOT(ISERROR(SEARCH("OVER",F357)))</formula>
    </cfRule>
  </conditionalFormatting>
  <conditionalFormatting sqref="F366:F371">
    <cfRule type="containsText" dxfId="1" priority="164" operator="containsText" text="OVER">
      <formula>NOT(ISERROR(SEARCH("OVER",F366)))</formula>
    </cfRule>
  </conditionalFormatting>
  <conditionalFormatting sqref="F375:F380">
    <cfRule type="containsText" dxfId="1" priority="168" operator="containsText" text="OVER">
      <formula>NOT(ISERROR(SEARCH("OVER",F375)))</formula>
    </cfRule>
  </conditionalFormatting>
  <conditionalFormatting sqref="F384:F389">
    <cfRule type="containsText" dxfId="1" priority="172" operator="containsText" text="OVER">
      <formula>NOT(ISERROR(SEARCH("OVER",F384)))</formula>
    </cfRule>
  </conditionalFormatting>
  <conditionalFormatting sqref="F393:F398">
    <cfRule type="containsText" dxfId="1" priority="176" operator="containsText" text="OVER">
      <formula>NOT(ISERROR(SEARCH("OVER",F393)))</formula>
    </cfRule>
  </conditionalFormatting>
  <conditionalFormatting sqref="F402:F407">
    <cfRule type="containsText" dxfId="1" priority="180" operator="containsText" text="OVER">
      <formula>NOT(ISERROR(SEARCH("OVER",F402)))</formula>
    </cfRule>
  </conditionalFormatting>
  <conditionalFormatting sqref="F42:F47">
    <cfRule type="containsText" dxfId="1" priority="20" operator="containsText" text="OVER">
      <formula>NOT(ISERROR(SEARCH("OVER",F42)))</formula>
    </cfRule>
  </conditionalFormatting>
  <conditionalFormatting sqref="F51:F56">
    <cfRule type="containsText" dxfId="1" priority="24" operator="containsText" text="OVER">
      <formula>NOT(ISERROR(SEARCH("OVER",F51)))</formula>
    </cfRule>
  </conditionalFormatting>
  <conditionalFormatting sqref="F60:F65">
    <cfRule type="containsText" dxfId="1" priority="28" operator="containsText" text="OVER">
      <formula>NOT(ISERROR(SEARCH("OVER",F60)))</formula>
    </cfRule>
  </conditionalFormatting>
  <conditionalFormatting sqref="F69:F74">
    <cfRule type="containsText" dxfId="1" priority="32" operator="containsText" text="OVER">
      <formula>NOT(ISERROR(SEARCH("OVER",F69)))</formula>
    </cfRule>
  </conditionalFormatting>
  <conditionalFormatting sqref="F6:F11">
    <cfRule type="containsText" dxfId="1" priority="4" operator="containsText" text="OVER">
      <formula>NOT(ISERROR(SEARCH("OVER",F6)))</formula>
    </cfRule>
  </conditionalFormatting>
  <conditionalFormatting sqref="F78:F83">
    <cfRule type="containsText" dxfId="1" priority="36" operator="containsText" text="OVER">
      <formula>NOT(ISERROR(SEARCH("OVER",F78)))</formula>
    </cfRule>
  </conditionalFormatting>
  <conditionalFormatting sqref="F87:F92">
    <cfRule type="containsText" dxfId="1" priority="40" operator="containsText" text="OVER">
      <formula>NOT(ISERROR(SEARCH("OVER",F87)))</formula>
    </cfRule>
  </conditionalFormatting>
  <conditionalFormatting sqref="F96:F101">
    <cfRule type="containsText" dxfId="1" priority="44" operator="containsText" text="OVER">
      <formula>NOT(ISERROR(SEARCH("OVER",F96)))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2" width="12.7109375" customWidth="1"/>
    <col min="3" max="7" width="16.7109375" customWidth="1"/>
  </cols>
  <sheetData>
    <row r="1" spans="1:10">
      <c r="A1" s="1" t="s">
        <v>1375</v>
      </c>
    </row>
    <row r="2" spans="1:10">
      <c r="A2" s="2" t="s">
        <v>1376</v>
      </c>
    </row>
    <row r="3" spans="1:10">
      <c r="A3" s="2" t="s">
        <v>1377</v>
      </c>
    </row>
    <row r="5" spans="1:10">
      <c r="A5" s="4" t="s">
        <v>1378</v>
      </c>
      <c r="B5" s="4" t="s">
        <v>1379</v>
      </c>
      <c r="C5" s="4" t="s">
        <v>1380</v>
      </c>
      <c r="D5" s="4" t="s">
        <v>1381</v>
      </c>
      <c r="E5" s="4" t="s">
        <v>1382</v>
      </c>
      <c r="F5" s="4" t="s">
        <v>1383</v>
      </c>
      <c r="G5" s="4" t="s">
        <v>1384</v>
      </c>
      <c r="H5" s="4" t="s">
        <v>1385</v>
      </c>
      <c r="I5" s="4" t="s">
        <v>1386</v>
      </c>
      <c r="J5" s="4" t="s">
        <v>1387</v>
      </c>
    </row>
    <row r="6" spans="1:10">
      <c r="A6" s="3">
        <v>46272</v>
      </c>
      <c r="B6" s="3">
        <v>46278</v>
      </c>
      <c r="C6" s="6">
        <v>0</v>
      </c>
      <c r="D6" s="6">
        <v>0</v>
      </c>
      <c r="E6" s="6">
        <v>0</v>
      </c>
      <c r="F6" s="6">
        <f>C6+D6-E6</f>
        <v>0.0</v>
      </c>
      <c r="G6" s="6">
        <f>'Dashboard'!$B$9+F6</f>
        <v>862926.38</v>
      </c>
      <c r="H6" s="6">
        <v>0</v>
      </c>
      <c r="I6" s="6">
        <v>862926.38</v>
      </c>
      <c r="J6" s="5" t="str">
        <f>IF(AND(ABS(F6-H6)&lt;0.01,ABS(G6-I6)&lt;0.01),"ok","DRIFT")</f>
        <v>ok</v>
      </c>
    </row>
    <row r="7" spans="1:10">
      <c r="A7" s="3">
        <v>46279</v>
      </c>
      <c r="B7" s="3">
        <v>46285</v>
      </c>
      <c r="C7" s="6">
        <v>385630.56</v>
      </c>
      <c r="D7" s="6">
        <v>0</v>
      </c>
      <c r="E7" s="6">
        <v>140645.48</v>
      </c>
      <c r="F7" s="6">
        <f>C7+D7-E7</f>
        <v>244985.08</v>
      </c>
      <c r="G7" s="6">
        <f>G6+F7</f>
        <v>1107911.46</v>
      </c>
      <c r="H7" s="6">
        <v>244985.08</v>
      </c>
      <c r="I7" s="6">
        <v>1107911.46</v>
      </c>
      <c r="J7" s="5" t="str">
        <f>IF(AND(ABS(F7-H7)&lt;0.01,ABS(G7-I7)&lt;0.01),"ok","DRIFT")</f>
        <v>ok</v>
      </c>
    </row>
    <row r="8" spans="1:10">
      <c r="A8" s="3">
        <v>46286</v>
      </c>
      <c r="B8" s="3">
        <v>46292</v>
      </c>
      <c r="C8" s="6">
        <v>58531.47</v>
      </c>
      <c r="D8" s="6">
        <v>0</v>
      </c>
      <c r="E8" s="6">
        <v>33984.68</v>
      </c>
      <c r="F8" s="6">
        <f>C8+D8-E8</f>
        <v>24546.79</v>
      </c>
      <c r="G8" s="6">
        <f>G7+F8</f>
        <v>1132458.25</v>
      </c>
      <c r="H8" s="6">
        <v>24546.79</v>
      </c>
      <c r="I8" s="6">
        <v>1132458.25</v>
      </c>
      <c r="J8" s="5" t="str">
        <f>IF(AND(ABS(F8-H8)&lt;0.01,ABS(G8-I8)&lt;0.01),"ok","DRIFT")</f>
        <v>ok</v>
      </c>
    </row>
    <row r="9" spans="1:10">
      <c r="A9" s="3">
        <v>46293</v>
      </c>
      <c r="B9" s="3">
        <v>46299</v>
      </c>
      <c r="C9" s="6">
        <v>120853.01</v>
      </c>
      <c r="D9" s="6">
        <v>0</v>
      </c>
      <c r="E9" s="6">
        <v>15463.39</v>
      </c>
      <c r="F9" s="6">
        <f>C9+D9-E9</f>
        <v>105389.62</v>
      </c>
      <c r="G9" s="6">
        <f>G8+F9</f>
        <v>1237847.87</v>
      </c>
      <c r="H9" s="6">
        <v>105389.62</v>
      </c>
      <c r="I9" s="6">
        <v>1237847.87</v>
      </c>
      <c r="J9" s="5" t="str">
        <f>IF(AND(ABS(F9-H9)&lt;0.01,ABS(G9-I9)&lt;0.01),"ok","DRIFT")</f>
        <v>ok</v>
      </c>
    </row>
    <row r="10" spans="1:10">
      <c r="A10" s="3">
        <v>46300</v>
      </c>
      <c r="B10" s="3">
        <v>46306</v>
      </c>
      <c r="C10" s="6">
        <v>28296.87</v>
      </c>
      <c r="D10" s="6">
        <v>0</v>
      </c>
      <c r="E10" s="6">
        <v>0</v>
      </c>
      <c r="F10" s="6">
        <f>C10+D10-E10</f>
        <v>28296.87</v>
      </c>
      <c r="G10" s="6">
        <f>G9+F10</f>
        <v>1266144.74</v>
      </c>
      <c r="H10" s="6">
        <v>28296.87</v>
      </c>
      <c r="I10" s="6">
        <v>1266144.74</v>
      </c>
      <c r="J10" s="5" t="str">
        <f>IF(AND(ABS(F10-H10)&lt;0.01,ABS(G10-I10)&lt;0.01),"ok","DRIFT")</f>
        <v>ok</v>
      </c>
    </row>
    <row r="11" spans="1:10">
      <c r="A11" s="3">
        <v>46307</v>
      </c>
      <c r="B11" s="3">
        <v>46313</v>
      </c>
      <c r="C11" s="6">
        <v>108674.87</v>
      </c>
      <c r="D11" s="6">
        <v>30261.38</v>
      </c>
      <c r="E11" s="6">
        <v>0</v>
      </c>
      <c r="F11" s="6">
        <f>C11+D11-E11</f>
        <v>138936.25</v>
      </c>
      <c r="G11" s="6">
        <f>G10+F11</f>
        <v>1405080.99</v>
      </c>
      <c r="H11" s="6">
        <v>138936.25</v>
      </c>
      <c r="I11" s="6">
        <v>1405080.99</v>
      </c>
      <c r="J11" s="5" t="str">
        <f>IF(AND(ABS(F11-H11)&lt;0.01,ABS(G11-I11)&lt;0.01),"ok","DRIFT")</f>
        <v>ok</v>
      </c>
    </row>
    <row r="12" spans="1:10">
      <c r="A12" s="3">
        <v>46314</v>
      </c>
      <c r="B12" s="3">
        <v>46320</v>
      </c>
      <c r="C12" s="6">
        <v>25076.11</v>
      </c>
      <c r="D12" s="6">
        <v>0</v>
      </c>
      <c r="E12" s="6">
        <v>0</v>
      </c>
      <c r="F12" s="6">
        <f>C12+D12-E12</f>
        <v>25076.11</v>
      </c>
      <c r="G12" s="6">
        <f>G11+F12</f>
        <v>1430157.1</v>
      </c>
      <c r="H12" s="6">
        <v>25076.11</v>
      </c>
      <c r="I12" s="6">
        <v>1430157.1</v>
      </c>
      <c r="J12" s="5" t="str">
        <f>IF(AND(ABS(F12-H12)&lt;0.01,ABS(G12-I12)&lt;0.01),"ok","DRIFT")</f>
        <v>ok</v>
      </c>
    </row>
    <row r="13" spans="1:10">
      <c r="A13" s="3">
        <v>46321</v>
      </c>
      <c r="B13" s="3">
        <v>46327</v>
      </c>
      <c r="C13" s="6">
        <v>0</v>
      </c>
      <c r="D13" s="6">
        <v>19104.13</v>
      </c>
      <c r="E13" s="6">
        <v>0</v>
      </c>
      <c r="F13" s="6">
        <f>C13+D13-E13</f>
        <v>19104.13</v>
      </c>
      <c r="G13" s="6">
        <f>G12+F13</f>
        <v>1449261.23</v>
      </c>
      <c r="H13" s="6">
        <v>19104.13</v>
      </c>
      <c r="I13" s="6">
        <v>1449261.23</v>
      </c>
      <c r="J13" s="5" t="str">
        <f>IF(AND(ABS(F13-H13)&lt;0.01,ABS(G13-I13)&lt;0.01),"ok","DRIFT")</f>
        <v>ok</v>
      </c>
    </row>
    <row r="14" spans="1:10">
      <c r="A14" s="3">
        <v>46328</v>
      </c>
      <c r="B14" s="3">
        <v>46334</v>
      </c>
      <c r="C14" s="6">
        <v>0</v>
      </c>
      <c r="D14" s="6">
        <v>0</v>
      </c>
      <c r="E14" s="6">
        <v>0</v>
      </c>
      <c r="F14" s="6">
        <f>C14+D14-E14</f>
        <v>0.0</v>
      </c>
      <c r="G14" s="6">
        <f>G13+F14</f>
        <v>1449261.23</v>
      </c>
      <c r="H14" s="6">
        <v>0</v>
      </c>
      <c r="I14" s="6">
        <v>1449261.23</v>
      </c>
      <c r="J14" s="5" t="str">
        <f>IF(AND(ABS(F14-H14)&lt;0.01,ABS(G14-I14)&lt;0.01),"ok","DRIFT")</f>
        <v>ok</v>
      </c>
    </row>
    <row r="15" spans="1:10">
      <c r="A15" s="3">
        <v>46335</v>
      </c>
      <c r="B15" s="3">
        <v>46341</v>
      </c>
      <c r="C15" s="6">
        <v>0</v>
      </c>
      <c r="D15" s="6">
        <v>0</v>
      </c>
      <c r="E15" s="6">
        <v>0</v>
      </c>
      <c r="F15" s="6">
        <f>C15+D15-E15</f>
        <v>0.0</v>
      </c>
      <c r="G15" s="6">
        <f>G14+F15</f>
        <v>1449261.23</v>
      </c>
      <c r="H15" s="6">
        <v>0</v>
      </c>
      <c r="I15" s="6">
        <v>1449261.23</v>
      </c>
      <c r="J15" s="5" t="str">
        <f>IF(AND(ABS(F15-H15)&lt;0.01,ABS(G15-I15)&lt;0.01),"ok","DRIFT")</f>
        <v>ok</v>
      </c>
    </row>
    <row r="16" spans="1:10">
      <c r="A16" s="3">
        <v>46342</v>
      </c>
      <c r="B16" s="3">
        <v>46348</v>
      </c>
      <c r="C16" s="6">
        <v>0</v>
      </c>
      <c r="D16" s="6">
        <v>25815</v>
      </c>
      <c r="E16" s="6">
        <v>0</v>
      </c>
      <c r="F16" s="6">
        <f>C16+D16-E16</f>
        <v>25815.0</v>
      </c>
      <c r="G16" s="6">
        <f>G15+F16</f>
        <v>1475076.23</v>
      </c>
      <c r="H16" s="6">
        <v>25815</v>
      </c>
      <c r="I16" s="6">
        <v>1475076.23</v>
      </c>
      <c r="J16" s="5" t="str">
        <f>IF(AND(ABS(F16-H16)&lt;0.01,ABS(G16-I16)&lt;0.01),"ok","DRIFT")</f>
        <v>ok</v>
      </c>
    </row>
    <row r="17" spans="1:10">
      <c r="A17" s="3">
        <v>46349</v>
      </c>
      <c r="B17" s="3">
        <v>46355</v>
      </c>
      <c r="C17" s="6">
        <v>0</v>
      </c>
      <c r="D17" s="6">
        <v>0</v>
      </c>
      <c r="E17" s="6">
        <v>0</v>
      </c>
      <c r="F17" s="6">
        <f>C17+D17-E17</f>
        <v>0.0</v>
      </c>
      <c r="G17" s="6">
        <f>G16+F17</f>
        <v>1475076.23</v>
      </c>
      <c r="H17" s="6">
        <v>0</v>
      </c>
      <c r="I17" s="6">
        <v>1475076.23</v>
      </c>
      <c r="J17" s="5" t="str">
        <f>IF(AND(ABS(F17-H17)&lt;0.01,ABS(G17-I17)&lt;0.01),"ok","DRIFT")</f>
        <v>ok</v>
      </c>
    </row>
    <row r="18" spans="1:10">
      <c r="A18" s="3">
        <v>46356</v>
      </c>
      <c r="B18" s="3">
        <v>46362</v>
      </c>
      <c r="C18" s="6">
        <v>0</v>
      </c>
      <c r="D18" s="6">
        <v>0</v>
      </c>
      <c r="E18" s="6">
        <v>0</v>
      </c>
      <c r="F18" s="6">
        <f>C18+D18-E18</f>
        <v>0.0</v>
      </c>
      <c r="G18" s="6">
        <f>G17+F18</f>
        <v>1475076.23</v>
      </c>
      <c r="H18" s="6">
        <v>0</v>
      </c>
      <c r="I18" s="6">
        <v>1475076.23</v>
      </c>
      <c r="J18" s="5" t="str">
        <f>IF(AND(ABS(F18-H18)&lt;0.01,ABS(G18-I18)&lt;0.01),"ok","DRIFT")</f>
        <v>ok</v>
      </c>
    </row>
    <row r="20" spans="1:10">
      <c r="A20" s="2" t="s">
        <v>1388</v>
      </c>
    </row>
  </sheetData>
  <conditionalFormatting sqref="G6:G18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34.7109375" customWidth="1"/>
    <col min="2" max="2" width="12.7109375" customWidth="1"/>
    <col min="3" max="3" width="62.7109375" customWidth="1"/>
    <col min="4" max="4" width="14.7109375" customWidth="1"/>
    <col min="5" max="5" width="70.7109375" customWidth="1"/>
  </cols>
  <sheetData>
    <row r="1" spans="1:5">
      <c r="A1" s="1" t="s">
        <v>1389</v>
      </c>
    </row>
    <row r="2" spans="1:5">
      <c r="A2" s="2" t="s">
        <v>1390</v>
      </c>
    </row>
    <row r="4" spans="1:5">
      <c r="A4" s="11" t="s">
        <v>1391</v>
      </c>
      <c r="B4" s="11"/>
      <c r="C4" s="11"/>
      <c r="D4" s="11"/>
      <c r="E4" s="11"/>
    </row>
    <row r="5" spans="1:5">
      <c r="A5" s="11"/>
      <c r="B5" s="11"/>
      <c r="C5" s="11"/>
      <c r="D5" s="11"/>
      <c r="E5" s="11"/>
    </row>
    <row r="6" spans="1:5">
      <c r="A6" s="11"/>
      <c r="B6" s="11"/>
      <c r="C6" s="11"/>
      <c r="D6" s="11"/>
      <c r="E6" s="11"/>
    </row>
    <row r="7" spans="1:5">
      <c r="A7" s="11"/>
      <c r="B7" s="11"/>
      <c r="C7" s="11"/>
      <c r="D7" s="11"/>
      <c r="E7" s="11"/>
    </row>
    <row r="9" spans="1:5">
      <c r="A9" s="4" t="s">
        <v>1392</v>
      </c>
      <c r="B9" s="4" t="s">
        <v>1393</v>
      </c>
      <c r="C9" s="4" t="s">
        <v>1394</v>
      </c>
      <c r="D9" s="4" t="s">
        <v>1395</v>
      </c>
      <c r="E9" s="4" t="s">
        <v>1396</v>
      </c>
    </row>
    <row r="10" spans="1:5">
      <c r="A10" s="5" t="s">
        <v>1397</v>
      </c>
      <c r="B10" s="5" t="s">
        <v>1398</v>
      </c>
      <c r="C10" s="5" t="s">
        <v>1399</v>
      </c>
      <c r="D10" s="5" t="s">
        <v>1400</v>
      </c>
      <c r="E10" s="5" t="s">
        <v>1401</v>
      </c>
    </row>
    <row r="11" spans="1:5">
      <c r="A11" s="5" t="s">
        <v>1402</v>
      </c>
      <c r="B11" s="5" t="s">
        <v>1398</v>
      </c>
      <c r="C11" s="5" t="s">
        <v>1403</v>
      </c>
      <c r="D11" s="5" t="s">
        <v>1400</v>
      </c>
      <c r="E11" s="5" t="s">
        <v>1404</v>
      </c>
    </row>
    <row r="12" spans="1:5">
      <c r="A12" s="5" t="s">
        <v>1405</v>
      </c>
      <c r="B12" s="5" t="s">
        <v>1406</v>
      </c>
      <c r="C12" s="5" t="s">
        <v>1407</v>
      </c>
      <c r="D12" s="5" t="s">
        <v>1400</v>
      </c>
      <c r="E12" s="5" t="s">
        <v>1408</v>
      </c>
    </row>
    <row r="13" spans="1:5">
      <c r="A13" s="5" t="s">
        <v>1409</v>
      </c>
      <c r="B13" s="5" t="s">
        <v>1406</v>
      </c>
      <c r="C13" s="5" t="s">
        <v>1410</v>
      </c>
      <c r="D13" s="5" t="s">
        <v>1400</v>
      </c>
      <c r="E13" s="5" t="s">
        <v>1411</v>
      </c>
    </row>
    <row r="14" spans="1:5">
      <c r="A14" s="5" t="s">
        <v>1412</v>
      </c>
      <c r="B14" s="5" t="s">
        <v>1406</v>
      </c>
      <c r="C14" s="5" t="s">
        <v>1413</v>
      </c>
      <c r="D14" s="5" t="s">
        <v>1400</v>
      </c>
      <c r="E14" s="5" t="s">
        <v>1414</v>
      </c>
    </row>
    <row r="15" spans="1:5">
      <c r="A15" s="5" t="s">
        <v>1415</v>
      </c>
      <c r="B15" s="5" t="s">
        <v>1406</v>
      </c>
      <c r="C15" s="5" t="s">
        <v>1416</v>
      </c>
      <c r="D15" s="5" t="s">
        <v>1400</v>
      </c>
      <c r="E15" s="5" t="s">
        <v>1417</v>
      </c>
    </row>
    <row r="16" spans="1:5">
      <c r="A16" s="5" t="s">
        <v>1418</v>
      </c>
      <c r="B16" s="5" t="s">
        <v>1419</v>
      </c>
      <c r="C16" s="5" t="s">
        <v>1420</v>
      </c>
      <c r="D16" s="5" t="s">
        <v>1400</v>
      </c>
      <c r="E16" s="5" t="s">
        <v>1421</v>
      </c>
    </row>
    <row r="19" spans="1:5">
      <c r="A19" s="10" t="s">
        <v>1422</v>
      </c>
    </row>
    <row r="20" spans="1:5">
      <c r="A20" s="11" t="s">
        <v>23</v>
      </c>
      <c r="B20" s="11"/>
      <c r="C20" s="11"/>
      <c r="D20" s="11"/>
      <c r="E20" s="11"/>
    </row>
    <row r="21" spans="1:5">
      <c r="A21" s="11"/>
      <c r="B21" s="11"/>
      <c r="C21" s="11"/>
      <c r="D21" s="11"/>
      <c r="E21" s="11"/>
    </row>
    <row r="22" spans="1:5">
      <c r="A22" s="11"/>
      <c r="B22" s="11"/>
      <c r="C22" s="11"/>
      <c r="D22" s="11"/>
      <c r="E22" s="11"/>
    </row>
    <row r="23" spans="1:5">
      <c r="A23" s="11"/>
      <c r="B23" s="11"/>
      <c r="C23" s="11"/>
      <c r="D23" s="11"/>
      <c r="E23" s="11"/>
    </row>
    <row r="24" spans="1:5">
      <c r="A24" s="11"/>
      <c r="B24" s="11"/>
      <c r="C24" s="11"/>
      <c r="D24" s="11"/>
      <c r="E24" s="11"/>
    </row>
    <row r="25" spans="1:5">
      <c r="A25" s="11"/>
      <c r="B25" s="11"/>
      <c r="C25" s="11"/>
      <c r="D25" s="11"/>
      <c r="E25" s="11"/>
    </row>
    <row r="27" spans="1:5">
      <c r="A27" s="2" t="s">
        <v>1423</v>
      </c>
    </row>
  </sheetData>
  <mergeCells count="2">
    <mergeCell ref="A4:E7"/>
    <mergeCell ref="A20:E25"/>
  </mergeCells>
  <hyperlinks>
    <hyperlink ref="C10" r:id="rId1"/>
    <hyperlink ref="C11" r:id="rId2"/>
    <hyperlink ref="C12" r:id="rId3"/>
    <hyperlink ref="C13" r:id="rId4"/>
    <hyperlink ref="C14" r:id="rId5"/>
    <hyperlink ref="C15" r:id="rId6"/>
    <hyperlink ref="C16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Dashboard</vt:lpstr>
      <vt:lpstr>_chartdata</vt:lpstr>
      <vt:lpstr>AR</vt:lpstr>
      <vt:lpstr>AP</vt:lpstr>
      <vt:lpstr>Budget vs Actual</vt:lpstr>
      <vt:lpstr>Cash Flow Forecast</vt:lpstr>
      <vt:lpstr>Data Sources</vt:lpstr>
      <vt:lpstr>AS_OF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2026-09-10T22:06:43Z</dcterms:created>
  <dcterms:modified xsi:type="dcterms:W3CDTF">2026-09-10T22:06:43Z</dcterms:modified>
</cp:coreProperties>
</file>